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REQUEST" sheetId="1" state="visible" r:id="rId3"/>
    <sheet name="LISTS" sheetId="2" state="hidden" r:id="rId4"/>
  </sheets>
  <definedNames>
    <definedName function="false" hidden="true" localSheetId="0" name="_xlnm._FilterDatabase" vbProcedure="false">'WORK REQUEST'!$A$6:$S$206</definedName>
    <definedName function="false" hidden="false" name="L_Branch" vbProcedure="false">LISTS!$B$2:$B$4</definedName>
    <definedName function="false" hidden="false" name="L_Chung" vbProcedure="false">LISTS!$E$2:$E$4</definedName>
    <definedName function="false" hidden="false" name="L_Dich" vbProcedure="false">LISTS!$D$2:$D$9</definedName>
    <definedName function="false" hidden="false" name="L_Hat" vbProcedure="false">LISTS!$C$2:$C$7</definedName>
    <definedName function="false" hidden="false" name="L_Kind" vbProcedure="false">LISTS!$F$2:$F$4</definedName>
    <definedName function="false" hidden="false" name="L_Mode" vbProcedure="false">LISTS!$H$2:$H$6</definedName>
    <definedName function="false" hidden="false" name="L_None" vbProcedure="false">LISTS!$A$2</definedName>
    <definedName function="false" hidden="false" name="L_PPE" vbProcedure="false">LISTS!$J$2:$J$7</definedName>
    <definedName function="false" hidden="false" name="L_PTW" vbProcedure="false">LISTS!$I$2:$I$10</definedName>
    <definedName function="false" hidden="false" name="L_YN" vbProcedure="false">LISTS!$G$2:$G$3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Work Request</author>
  </authors>
  <commentList>
    <comment ref="F6" authorId="0">
      <text>
        <r>
          <rPr>
            <sz val="10"/>
            <rFont val="Arial"/>
            <family val="2"/>
          </rPr>
          <t xml:space="preserve">Bắt buộc = việc chính.
Bổ sung – A/B = cải tiến, bảo trì thêm.</t>
        </r>
      </text>
    </comment>
    <comment ref="G6" authorId="0">
      <text>
        <r>
          <rPr>
            <sz val="10"/>
            <rFont val="Arial"/>
            <family val="2"/>
          </rPr>
          <t xml:space="preserve">Số giờ tính từ mốc 0h (ô F2). 0 = ngay khi Shutdown.</t>
        </r>
      </text>
    </comment>
    <comment ref="H6" authorId="0">
      <text>
        <r>
          <rPr>
            <sz val="10"/>
            <rFont val="Arial"/>
            <family val="2"/>
          </rPr>
          <t xml:space="preserve">Tự tính. Không cần nhập.</t>
        </r>
      </text>
    </comment>
    <comment ref="J6" authorId="0">
      <text>
        <r>
          <rPr>
            <sz val="10"/>
            <rFont val="Arial"/>
            <family val="2"/>
          </rPr>
          <t xml:space="preserve">Tự tính.</t>
        </r>
      </text>
    </comment>
    <comment ref="N6" authorId="0">
      <text>
        <r>
          <rPr>
            <sz val="10"/>
            <rFont val="Arial"/>
            <family val="2"/>
          </rPr>
          <t xml:space="preserve">Mode 0: ngoài rào chắn · Mode 3: dừng máy, bảo trì → LOTO · Mode 4: còn năng lượng → giấy phép Mode 4.</t>
        </r>
      </text>
    </comment>
    <comment ref="P6" authorId="0">
      <text>
        <r>
          <rPr>
            <sz val="10"/>
            <rFont val="Arial"/>
            <family val="2"/>
          </rPr>
          <t xml:space="preserve">Mỗi điểm khóa = 1 ảnh.
Ví dụ: Điện: CB tủ MCC; Khí nén: HV regulator</t>
        </r>
      </text>
    </comment>
    <comment ref="S6" authorId="0">
      <text>
        <r>
          <rPr>
            <sz val="10"/>
            <rFont val="Arial"/>
            <family val="2"/>
          </rPr>
          <t xml:space="preserve">Cơ bản: Mũ, kính, giày, găng tay
Chịu nhiệt: Cơ bản + găng chịu nhiệt, áo dài tay
Hóa chất / CIP: Cơ bản + găng hóa chất, áo tạp dề hóa chất, khẩu trang, ủng
Trên cao: Cơ bản + dây an toàn toàn thân
Không gian kín: Cơ bản + máy đo khí, khẩu trang
Tiếng ồn: Nút tai / chụp tai</t>
        </r>
      </text>
    </comment>
  </commentList>
</comments>
</file>

<file path=xl/sharedStrings.xml><?xml version="1.0" encoding="utf-8"?>
<sst xmlns="http://schemas.openxmlformats.org/spreadsheetml/2006/main" count="897" uniqueCount="273">
  <si>
    <t xml:space="preserve">WORK REQUEST – YÊU CẦU CÔNG VIỆC SHUTDOWN</t>
  </si>
  <si>
    <t xml:space="preserve">Tên kế hoạch *</t>
  </si>
  <si>
    <t xml:space="preserve">Shutdown 20.10.2026</t>
  </si>
  <si>
    <t xml:space="preserve">Bắt đầu Shutdown (mốc 0h) *</t>
  </si>
  <si>
    <t xml:space="preserve">Người lập</t>
  </si>
  <si>
    <t xml:space="preserve">MỐC THỜI GIAN = cột tím "Bắt đầu sau Shutdown (giờ)", tính từ mốc 0h (ô F2). Đổi ngày giờ ở F2 → giờ dự kiến tự dời, thời lượng giữ nguyên. Ảnh hoàn thành: operator chụp bao nhiêu cũng được (tối thiểu 1). Phần an toàn (N → S) chỉ điền khi việc cần.</t>
  </si>
  <si>
    <t xml:space="preserve">Chú thích:</t>
  </si>
  <si>
    <t xml:space="preserve">Ô đỏ = còn thiếu</t>
  </si>
  <si>
    <t xml:space="preserve">Ô vàng = nên điền / SHE review</t>
  </si>
  <si>
    <t xml:space="preserve">Task &amp; mốc giờ theo "Plan Shutdown" 20.10.2026. An toàn là gợi ý – SHE kiểm tra lại. Nút/chụp tai tự thêm cho mọi task tới khi ADS xong.</t>
  </si>
  <si>
    <t xml:space="preserve">A. THÔNG TIN CÔNG VIỆC</t>
  </si>
  <si>
    <t xml:space="preserve">MỐC THỜI GIAN</t>
  </si>
  <si>
    <t xml:space="preserve">ẢNH</t>
  </si>
  <si>
    <t xml:space="preserve">B. AN TOÀN – để trống nếu không cần</t>
  </si>
  <si>
    <t xml:space="preserve">Nhánh *</t>
  </si>
  <si>
    <t xml:space="preserve">Process *</t>
  </si>
  <si>
    <t xml:space="preserve">Thiết bị / Khu vực</t>
  </si>
  <si>
    <t xml:space="preserve">Tên công việc *</t>
  </si>
  <si>
    <t xml:space="preserve">Mô tả ngắn / phân công theo plan</t>
  </si>
  <si>
    <t xml:space="preserve">Loại công việc *</t>
  </si>
  <si>
    <t xml:space="preserve">Bắt đầu sau Shutdown (giờ) *</t>
  </si>
  <si>
    <t xml:space="preserve">Giờ bắt đầu dự kiến</t>
  </si>
  <si>
    <t xml:space="preserve">Thời lượng (giờ) *</t>
  </si>
  <si>
    <t xml:space="preserve">Kết thúc dự kiến</t>
  </si>
  <si>
    <t xml:space="preserve">Số người *</t>
  </si>
  <si>
    <t xml:space="preserve">Ảnh checklist</t>
  </si>
  <si>
    <t xml:space="preserve">Ảnh giấy phép làm việc</t>
  </si>
  <si>
    <t xml:space="preserve">Mode can thiệp</t>
  </si>
  <si>
    <t xml:space="preserve">WI LOTO</t>
  </si>
  <si>
    <t xml:space="preserve">Điểm khóa LOTO
(Năng lượng: điểm khóa; …)</t>
  </si>
  <si>
    <t xml:space="preserve">Giấy phép làm việc</t>
  </si>
  <si>
    <t xml:space="preserve">Phiếu tiên đoán rủi ro</t>
  </si>
  <si>
    <t xml:space="preserve">Bộ PPE</t>
  </si>
  <si>
    <t xml:space="preserve">Nhánh Hạt</t>
  </si>
  <si>
    <t xml:space="preserve">EXT</t>
  </si>
  <si>
    <t xml:space="preserve">Clarifier</t>
  </si>
  <si>
    <t xml:space="preserve">Check line + CIP Clarifier</t>
  </si>
  <si>
    <t xml:space="preserve">95 phút CIP + 25 phút check line · Hiếu Trần</t>
  </si>
  <si>
    <t xml:space="preserve">Bắt buộc</t>
  </si>
  <si>
    <t xml:space="preserve">Có</t>
  </si>
  <si>
    <t xml:space="preserve">Không</t>
  </si>
  <si>
    <t xml:space="preserve">Mode 0</t>
  </si>
  <si>
    <t xml:space="preserve">Hóa chất / CIP</t>
  </si>
  <si>
    <t xml:space="preserve">Manifold</t>
  </si>
  <si>
    <t xml:space="preserve">Check line + CIP Extraction Manifold – Group A</t>
  </si>
  <si>
    <t xml:space="preserve">90 phút + 30 phút check line · Hiếu Trần</t>
  </si>
  <si>
    <t xml:space="preserve">3WB</t>
  </si>
  <si>
    <t xml:space="preserve">Check line + CIP 3WB – Group A</t>
  </si>
  <si>
    <t xml:space="preserve">40 phút + 20 phút check line · Hiếu Trần</t>
  </si>
  <si>
    <t xml:space="preserve">EXT tank</t>
  </si>
  <si>
    <t xml:space="preserve">Check line + CIP Extraction tanks – Group A</t>
  </si>
  <si>
    <t xml:space="preserve">90 phút + 30 phút check line</t>
  </si>
  <si>
    <t xml:space="preserve">Receiving HPR</t>
  </si>
  <si>
    <t xml:space="preserve">LOTO + tháo, vệ sinh Receiving HPR 8 hopper, cầu thang 12m → 9m</t>
  </si>
  <si>
    <t xml:space="preserve">S.Kiên + nhà thầu + Công OT + Long OT</t>
  </si>
  <si>
    <t xml:space="preserve">Mode 3</t>
  </si>
  <si>
    <t xml:space="preserve">Cơ bản</t>
  </si>
  <si>
    <t xml:space="preserve">Cell</t>
  </si>
  <si>
    <t xml:space="preserve">Vệ sinh đường ống xả hạt xuống cell</t>
  </si>
  <si>
    <t xml:space="preserve">Top filter</t>
  </si>
  <si>
    <t xml:space="preserve">Vệ sinh 8 top filter, cống, sàn</t>
  </si>
  <si>
    <t xml:space="preserve">Đẩy nước sang IDR</t>
  </si>
  <si>
    <t xml:space="preserve">Sàn 6m</t>
  </si>
  <si>
    <t xml:space="preserve">Vệ sinh sàn 6m, nóc tank Drainage, tank hot water</t>
  </si>
  <si>
    <t xml:space="preserve">Sàn rung</t>
  </si>
  <si>
    <t xml:space="preserve">Tháo và vệ sinh sàn rung, FCON, ống drain nước</t>
  </si>
  <si>
    <t xml:space="preserve">Lượng + nhà thầu (4h đầu) + S.Kiên OT + Bảo OT</t>
  </si>
  <si>
    <t xml:space="preserve">Discharge HPR</t>
  </si>
  <si>
    <t xml:space="preserve">Vệ sinh bên trong discharge 4 HPR, họng xả hạt dưới STRV, đường ống chuyển hạt, tank 7m3</t>
  </si>
  <si>
    <t xml:space="preserve">Sàn 12m / 9m</t>
  </si>
  <si>
    <t xml:space="preserve">Lắp manhole sàn 12m, lắp sightglass sàn 9m</t>
  </si>
  <si>
    <t xml:space="preserve">Lượng + S.Kiên M+3.5 + Bảo 4+N</t>
  </si>
  <si>
    <t xml:space="preserve">Sàn 0m</t>
  </si>
  <si>
    <t xml:space="preserve">Lắp sàn rung, hopper nhỏ, ống chuyển hạt sàn 0m</t>
  </si>
  <si>
    <t xml:space="preserve">Tủ điện</t>
  </si>
  <si>
    <t xml:space="preserve">Tháo LOTO, cover all tủ điện</t>
  </si>
  <si>
    <t xml:space="preserve">Release line EXT</t>
  </si>
  <si>
    <t xml:space="preserve">Bag filter EXT</t>
  </si>
  <si>
    <t xml:space="preserve">Thay bag filter EXT + vệ sinh filter, vệ sinh 10 cổ vải REIN</t>
  </si>
  <si>
    <t xml:space="preserve">Phú + Lượng</t>
  </si>
  <si>
    <t xml:space="preserve">Bổ sung – A</t>
  </si>
  <si>
    <t xml:space="preserve">IDR</t>
  </si>
  <si>
    <t xml:space="preserve">Steam heater</t>
  </si>
  <si>
    <t xml:space="preserve">Lắp CV steam heater</t>
  </si>
  <si>
    <t xml:space="preserve">1 TO Bean hoặc Cường, Đỉnh – IDR vẫn đang chạy</t>
  </si>
  <si>
    <t xml:space="preserve">Tháp IDR</t>
  </si>
  <si>
    <t xml:space="preserve">LOTO line + tháo STRV 11.02, Blower 40.03, đẩy thùng chứa hạt vào</t>
  </si>
  <si>
    <t xml:space="preserve">Bảo</t>
  </si>
  <si>
    <t xml:space="preserve">Chạy nước từ EXT qua IDR</t>
  </si>
  <si>
    <t xml:space="preserve">Filter heater</t>
  </si>
  <si>
    <t xml:space="preserve">Tháo filter heater 1, 2 + prefilter 1, 2</t>
  </si>
  <si>
    <t xml:space="preserve">Nhà thầu + Phú OT (4+N)</t>
  </si>
  <si>
    <t xml:space="preserve">Tháo filter heater 5, mang xuống 0m REIN vệ sinh</t>
  </si>
  <si>
    <t xml:space="preserve">Tháo manhole + vệ sinh Receiving HPR, fan, ống khí thoát, cầu thang, sàn tầng 5</t>
  </si>
  <si>
    <t xml:space="preserve">Phú + nhà thầu + Hải</t>
  </si>
  <si>
    <t xml:space="preserve">Deck 1–3</t>
  </si>
  <si>
    <t xml:space="preserve">Vệ sinh inlet valve, đáy receiving hopper; belt, deck 1–3, preheater 1+2</t>
  </si>
  <si>
    <t xml:space="preserve">Deck 4–5</t>
  </si>
  <si>
    <t xml:space="preserve">Vệ sinh trong/ngoài deck 4, 5, sàn thao tác, cào khô điểm đọng nước</t>
  </si>
  <si>
    <t xml:space="preserve">S.Kiên + Lượng 4+A + Hiếu HC</t>
  </si>
  <si>
    <t xml:space="preserve">Deck 6–7</t>
  </si>
  <si>
    <t xml:space="preserve">Vệ sinh trong/ngoài deck 6, 7, cầu ống, sàn thao tác</t>
  </si>
  <si>
    <t xml:space="preserve">Deck 8–11</t>
  </si>
  <si>
    <t xml:space="preserve">Vệ sinh deck 8–11 + hông 2 bên discharge hopper</t>
  </si>
  <si>
    <t xml:space="preserve">Heater 1–5</t>
  </si>
  <si>
    <t xml:space="preserve">Vệ sinh heater 1 → 5 + bên trong STRV 11.02</t>
  </si>
  <si>
    <t xml:space="preserve">Long + nhà thầu + Phú (4+N) · ưu tiên heater trước rồi sàn</t>
  </si>
  <si>
    <t xml:space="preserve">Lắp line + heat tháp IDR (tune CV)</t>
  </si>
  <si>
    <t xml:space="preserve">Lượng 4+A</t>
  </si>
  <si>
    <t xml:space="preserve">Chịu nhiệt</t>
  </si>
  <si>
    <t xml:space="preserve">Than</t>
  </si>
  <si>
    <t xml:space="preserve">Fill than</t>
  </si>
  <si>
    <t xml:space="preserve">Long + Công</t>
  </si>
  <si>
    <t xml:space="preserve">Xả than</t>
  </si>
  <si>
    <t xml:space="preserve">Tháp Bean</t>
  </si>
  <si>
    <t xml:space="preserve">Lắp line heat tháp Bean + vệ sinh 30 filter GCH</t>
  </si>
  <si>
    <t xml:space="preserve">Bảo + Hiếu</t>
  </si>
  <si>
    <t xml:space="preserve">REIN</t>
  </si>
  <si>
    <t xml:space="preserve">Tumbler</t>
  </si>
  <si>
    <t xml:space="preserve">Bơm nước vô tumbler và quay (ưu tiên tumbler 1, 2, 10)</t>
  </si>
  <si>
    <t xml:space="preserve">Hiếu OT 4+N</t>
  </si>
  <si>
    <t xml:space="preserve">Thick tank</t>
  </si>
  <si>
    <t xml:space="preserve">Bơm nước tumbler + check line, CIP 3 thick tank REIN</t>
  </si>
  <si>
    <t xml:space="preserve">Hiếu Trần · CIP 340 phút</t>
  </si>
  <si>
    <t xml:space="preserve">Silo 15m/12m</t>
  </si>
  <si>
    <t xml:space="preserve">Tháo FCON 12m, manhole 10 silo + vệ sinh silo, sàn 15m + 12m; xả nước tumbler 1, 2, 10 đẩy qua FDR</t>
  </si>
  <si>
    <t xml:space="preserve">Công + nhà thầu + Long 4+A</t>
  </si>
  <si>
    <t xml:space="preserve">Xả nước 10 tumbler + vệ sinh trong tumbler, đường ống xả hạt, sàn 9m REIN, cống</t>
  </si>
  <si>
    <t xml:space="preserve">Lượng + S.Kiên + Công (M+3.5) + Hiếu (4+N)</t>
  </si>
  <si>
    <t xml:space="preserve">Sàn 3m</t>
  </si>
  <si>
    <t xml:space="preserve">Vệ sinh filter, FCON, sàn 3m</t>
  </si>
  <si>
    <t xml:space="preserve">Hiếu + Giang ADS</t>
  </si>
  <si>
    <t xml:space="preserve">STRV</t>
  </si>
  <si>
    <t xml:space="preserve">Vệ sinh bên trong 5 hopper + STRV</t>
  </si>
  <si>
    <t xml:space="preserve">Tank 7m3</t>
  </si>
  <si>
    <t xml:space="preserve">Vệ sinh đường ống chuyển hạt 2 nhánh, tank 7m3, sàn 0m, cống</t>
  </si>
  <si>
    <t xml:space="preserve">Lắp line + release line REIN</t>
  </si>
  <si>
    <t xml:space="preserve">Kiên + Công · dosing xong giao Bean dryer</t>
  </si>
  <si>
    <t xml:space="preserve">FDR</t>
  </si>
  <si>
    <t xml:space="preserve">Tháp FDR</t>
  </si>
  <si>
    <t xml:space="preserve">LOTO line + tháo STRV, Blower, đẩy thùng chứa hạt vào</t>
  </si>
  <si>
    <t xml:space="preserve">Công · FDR chạy tới mốc này</t>
  </si>
  <si>
    <t xml:space="preserve">Chạy nước từ REIN qua FDR, tháo start valve, kéo 3 xe trấu</t>
  </si>
  <si>
    <t xml:space="preserve">Tháo filter heater 1–4 đưa xuống 0m</t>
  </si>
  <si>
    <t xml:space="preserve">Phú + nhà thầu</t>
  </si>
  <si>
    <t xml:space="preserve">Tháo manhole + vệ sinh Receiving HPR, inlet valve, lưới khí thoát, đường venting</t>
  </si>
  <si>
    <t xml:space="preserve">Vệ sinh belt, bên trong deck 1, 2, 3 và sàn thao tác</t>
  </si>
  <si>
    <t xml:space="preserve">S.Kiên + Công</t>
  </si>
  <si>
    <t xml:space="preserve">Heater</t>
  </si>
  <si>
    <t xml:space="preserve">Vệ sinh heater, sàn Bean 0m, bên trong STRV 11.03</t>
  </si>
  <si>
    <t xml:space="preserve">Long + nhà thầu</t>
  </si>
  <si>
    <t xml:space="preserve">GCH</t>
  </si>
  <si>
    <t xml:space="preserve">Bag filter GCH</t>
  </si>
  <si>
    <t xml:space="preserve">Thay bag filter GCH + vệ sinh DIV GCH</t>
  </si>
  <si>
    <t xml:space="preserve">Bảo + Hiếu + nhà thầu</t>
  </si>
  <si>
    <t xml:space="preserve">Vệ sinh filter heater Bean, chuyển filter lên heater 2 tháp</t>
  </si>
  <si>
    <t xml:space="preserve">Nhà thầu</t>
  </si>
  <si>
    <t xml:space="preserve">Nhánh Dịch</t>
  </si>
  <si>
    <t xml:space="preserve">ADS</t>
  </si>
  <si>
    <t xml:space="preserve">Shutdown ADS – lùa dịch – balance dosing</t>
  </si>
  <si>
    <t xml:space="preserve">Clarifier 2</t>
  </si>
  <si>
    <t xml:space="preserve">CIP Clarifier 2</t>
  </si>
  <si>
    <t xml:space="preserve">HPLC/UPLC</t>
  </si>
  <si>
    <t xml:space="preserve">CIP HPLC/UPLC line, OFF bơm HPLC/UPLC</t>
  </si>
  <si>
    <t xml:space="preserve">Filter ADS</t>
  </si>
  <si>
    <t xml:space="preserve">Tháo filter ADS, filter trainer</t>
  </si>
  <si>
    <t xml:space="preserve">Rinsing manifold ADS 200 phút – REG 320 phút</t>
  </si>
  <si>
    <t xml:space="preserve">9m–6m ADS</t>
  </si>
  <si>
    <t xml:space="preserve">Vệ sinh 9m–6m ADS, support NSD lắp line heat tháp</t>
  </si>
  <si>
    <t xml:space="preserve">Lực + Quốc</t>
  </si>
  <si>
    <t xml:space="preserve">3m–0m ADS</t>
  </si>
  <si>
    <t xml:space="preserve">Vệ sinh 3m–0m ADS (Topax)</t>
  </si>
  <si>
    <t xml:space="preserve">Minh + nhà thầu</t>
  </si>
  <si>
    <t xml:space="preserve">REG</t>
  </si>
  <si>
    <t xml:space="preserve">15 cột</t>
  </si>
  <si>
    <t xml:space="preserve">Chạy REG 1 round: 15 cột, 700 m3/cột</t>
  </si>
  <si>
    <t xml:space="preserve">EVAP 1</t>
  </si>
  <si>
    <t xml:space="preserve">Inter</t>
  </si>
  <si>
    <t xml:space="preserve">CIP inter EVAP 1 (NaOH)</t>
  </si>
  <si>
    <t xml:space="preserve">Feed tank</t>
  </si>
  <si>
    <t xml:space="preserve">CIP feed tank EVAP 1</t>
  </si>
  <si>
    <t xml:space="preserve">100 phút</t>
  </si>
  <si>
    <t xml:space="preserve">24m–0m</t>
  </si>
  <si>
    <t xml:space="preserve">Vệ sinh 24m → 0m EVAP 1</t>
  </si>
  <si>
    <t xml:space="preserve">Giang + Hiếu</t>
  </si>
  <si>
    <t xml:space="preserve">EVAP 2</t>
  </si>
  <si>
    <t xml:space="preserve">CIP inter EVAP 2</t>
  </si>
  <si>
    <t xml:space="preserve">330 phút</t>
  </si>
  <si>
    <t xml:space="preserve">CIP feed tank EVAP 2</t>
  </si>
  <si>
    <t xml:space="preserve">70 phút</t>
  </si>
  <si>
    <t xml:space="preserve">RO</t>
  </si>
  <si>
    <t xml:space="preserve">All loop</t>
  </si>
  <si>
    <t xml:space="preserve">Check line + CIP all loop RO</t>
  </si>
  <si>
    <t xml:space="preserve">PR3 + PR6</t>
  </si>
  <si>
    <t xml:space="preserve">CIP PR3 + PR6</t>
  </si>
  <si>
    <t xml:space="preserve">Nhu</t>
  </si>
  <si>
    <t xml:space="preserve">NSD</t>
  </si>
  <si>
    <t xml:space="preserve">Bag filter</t>
  </si>
  <si>
    <t xml:space="preserve">Shutdown NSD + rũ bột bag filter</t>
  </si>
  <si>
    <t xml:space="preserve">Kỳ</t>
  </si>
  <si>
    <t xml:space="preserve">Lắp line CIP NSD + ngâm đầu nozzle</t>
  </si>
  <si>
    <t xml:space="preserve">Điệp + Nam 4+A</t>
  </si>
  <si>
    <t xml:space="preserve">Check list + CIP đường thổi bột</t>
  </si>
  <si>
    <t xml:space="preserve">Nam</t>
  </si>
  <si>
    <t xml:space="preserve">CIP feed tank, feed line</t>
  </si>
  <si>
    <t xml:space="preserve">Chamber</t>
  </si>
  <si>
    <t xml:space="preserve">CIP chamber + cyclone</t>
  </si>
  <si>
    <t xml:space="preserve">260 phút</t>
  </si>
  <si>
    <t xml:space="preserve">CIP bag filter</t>
  </si>
  <si>
    <t xml:space="preserve">195 phút</t>
  </si>
  <si>
    <t xml:space="preserve">Tháp NSD</t>
  </si>
  <si>
    <t xml:space="preserve">Lắp line + gia nhiệt tháp NSD</t>
  </si>
  <si>
    <t xml:space="preserve">420 phút</t>
  </si>
  <si>
    <t xml:space="preserve">12m–0m</t>
  </si>
  <si>
    <t xml:space="preserve">Vệ sinh 12m → 0m NSD</t>
  </si>
  <si>
    <t xml:space="preserve">Kỳ + nhà thầu</t>
  </si>
  <si>
    <t xml:space="preserve">Cooling HX</t>
  </si>
  <si>
    <t xml:space="preserve">CIP cooling HX RO</t>
  </si>
  <si>
    <t xml:space="preserve">Nhu + Lực</t>
  </si>
  <si>
    <t xml:space="preserve">Dehum, fan</t>
  </si>
  <si>
    <t xml:space="preserve">Thay filter dehum, fan và vệ sinh</t>
  </si>
  <si>
    <t xml:space="preserve">Nam + Minh</t>
  </si>
  <si>
    <t xml:space="preserve">Membrane</t>
  </si>
  <si>
    <t xml:space="preserve">Đẩy membrane</t>
  </si>
  <si>
    <t xml:space="preserve">Điệp + Giang + Kiên mặp</t>
  </si>
  <si>
    <t xml:space="preserve">CAF Filling</t>
  </si>
  <si>
    <t xml:space="preserve">Thu hồi bột bag filter</t>
  </si>
  <si>
    <t xml:space="preserve">Kiên mặp</t>
  </si>
  <si>
    <t xml:space="preserve">LOTO, tháo dust collector + toàn bộ thiết bị (7 filter RCV, 4 filter dust collector, 7 ống mềm 0m, 3 bộ filter máy hút bụi) chuyển qua REIN; lắp đường return CIP; tháo sàn rung</t>
  </si>
  <si>
    <t xml:space="preserve">Quốc + nhà thầu + Hiếu HC</t>
  </si>
  <si>
    <t xml:space="preserve">6m + 3m</t>
  </si>
  <si>
    <t xml:space="preserve">Vệ sinh 6m + 3m CFN filling</t>
  </si>
  <si>
    <t xml:space="preserve">Công + Quốc M+3.5 + Lộc</t>
  </si>
  <si>
    <t xml:space="preserve">Phòng fill</t>
  </si>
  <si>
    <t xml:space="preserve">Vệ sinh 0m, phòng fill</t>
  </si>
  <si>
    <t xml:space="preserve">Kiên mặp + Giang ADS</t>
  </si>
  <si>
    <t xml:space="preserve">Lắp line CFN filling, vệ sinh máy hút bụi, filter</t>
  </si>
  <si>
    <t xml:space="preserve">Kiên mặp + Bảo</t>
  </si>
  <si>
    <t xml:space="preserve">L_None</t>
  </si>
  <si>
    <t xml:space="preserve">L_Branch</t>
  </si>
  <si>
    <t xml:space="preserve">L_Hat</t>
  </si>
  <si>
    <t xml:space="preserve">L_Dich</t>
  </si>
  <si>
    <t xml:space="preserve">L_Chung</t>
  </si>
  <si>
    <t xml:space="preserve">L_Kind</t>
  </si>
  <si>
    <t xml:space="preserve">L_YN</t>
  </si>
  <si>
    <t xml:space="preserve">L_Mode</t>
  </si>
  <si>
    <t xml:space="preserve">L_PTW</t>
  </si>
  <si>
    <t xml:space="preserve">L_PPE</t>
  </si>
  <si>
    <t xml:space="preserve">PPE_PACKS</t>
  </si>
  <si>
    <t xml:space="preserve">—</t>
  </si>
  <si>
    <t xml:space="preserve">CIP</t>
  </si>
  <si>
    <t xml:space="preserve">Cơ bản=Mũ, kính, giày, găng tay</t>
  </si>
  <si>
    <t xml:space="preserve">Utility</t>
  </si>
  <si>
    <t xml:space="preserve">Mode 1</t>
  </si>
  <si>
    <t xml:space="preserve">Trên cao</t>
  </si>
  <si>
    <t xml:space="preserve">Chịu nhiệt=Cơ bản + găng chịu nhiệt, áo dài tay</t>
  </si>
  <si>
    <t xml:space="preserve">Chung</t>
  </si>
  <si>
    <t xml:space="preserve">ACH</t>
  </si>
  <si>
    <t xml:space="preserve">Bổ sung – B</t>
  </si>
  <si>
    <t xml:space="preserve">Mode 2</t>
  </si>
  <si>
    <t xml:space="preserve">Tia lửa / Công việc nóng</t>
  </si>
  <si>
    <t xml:space="preserve">Hóa chất / CIP=Cơ bản + găng hóa chất, áo tạp dề hóa chất, khẩu trang, ủng</t>
  </si>
  <si>
    <t xml:space="preserve">Điện nguy cơ cao</t>
  </si>
  <si>
    <t xml:space="preserve">Trên cao=Cơ bản + dây an toàn toàn thân</t>
  </si>
  <si>
    <t xml:space="preserve">Mode 4</t>
  </si>
  <si>
    <t xml:space="preserve">Không gian kín</t>
  </si>
  <si>
    <t xml:space="preserve">Không gian kín=Cơ bản + máy đo khí, khẩu trang</t>
  </si>
  <si>
    <t xml:space="preserve">DGC Filling</t>
  </si>
  <si>
    <t xml:space="preserve">Tiếng ồn</t>
  </si>
  <si>
    <t xml:space="preserve">Tiếng ồn=Nút tai / chụp tai</t>
  </si>
  <si>
    <t xml:space="preserve">Thiết bị nâng</t>
  </si>
  <si>
    <t xml:space="preserve">Đào đất</t>
  </si>
  <si>
    <t xml:space="preserve">Phá dỡ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</si>
</sst>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0.0#"/>
    <numFmt numFmtId="167" formatCode="dd/mm\ 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3B0764"/>
      <name val="Arial"/>
      <family val="0"/>
      <charset val="1"/>
    </font>
    <font>
      <b val="true"/>
      <sz val="9"/>
      <color rgb="FF111827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6B7280"/>
      <name val="Arial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F2A4A"/>
        <bgColor rgb="FF111827"/>
      </patternFill>
    </fill>
    <fill>
      <patternFill patternType="solid">
        <fgColor rgb="FFFFFBEB"/>
        <bgColor rgb="FFFFFFFF"/>
      </patternFill>
    </fill>
    <fill>
      <patternFill patternType="solid">
        <fgColor rgb="FFF3E8FF"/>
        <bgColor rgb="FFEEF2FF"/>
      </patternFill>
    </fill>
    <fill>
      <patternFill patternType="solid">
        <fgColor rgb="FFFECACA"/>
        <bgColor rgb="FFF3E8FF"/>
      </patternFill>
    </fill>
    <fill>
      <patternFill patternType="solid">
        <fgColor rgb="FFFEF3C7"/>
        <bgColor rgb="FFFFFBEB"/>
      </patternFill>
    </fill>
    <fill>
      <patternFill patternType="solid">
        <fgColor rgb="FFEEF2FF"/>
        <bgColor rgb="FFF5F3FF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993366"/>
      </patternFill>
    </fill>
    <fill>
      <patternFill patternType="solid">
        <fgColor rgb="FF0E7490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C2410C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/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medium">
        <color rgb="FF475569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F5F3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7C3AED"/>
      <rgbColor rgb="FFFEF3C7"/>
      <rgbColor rgb="FFEEF2FF"/>
      <rgbColor rgb="FF3B0764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3FF"/>
      <rgbColor rgb="FFF3E8FF"/>
      <rgbColor rgb="FFFFFBEB"/>
      <rgbColor rgb="FF99CCFF"/>
      <rgbColor rgb="FFFF99CC"/>
      <rgbColor rgb="FFCC99FF"/>
      <rgbColor rgb="FFFECACA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F2A4A"/>
      <rgbColor rgb="FF339966"/>
      <rgbColor rgb="FF111827"/>
      <rgbColor rgb="FF333300"/>
      <rgbColor rgb="FFC2410C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5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4" min="12" style="0" width="9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13"/>
    <col collapsed="false" customWidth="true" hidden="false" outlineLevel="0" max="18" min="18" style="0" width="9"/>
    <col collapsed="false" customWidth="true" hidden="false" outlineLevel="0" max="19" min="19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3.85" hidden="false" customHeight="true" outlineLevel="0" collapsed="false">
      <c r="A2" s="2" t="s">
        <v>1</v>
      </c>
      <c r="B2" s="3" t="s">
        <v>2</v>
      </c>
      <c r="C2" s="3"/>
      <c r="D2" s="3"/>
      <c r="E2" s="2" t="s">
        <v>3</v>
      </c>
      <c r="F2" s="4" t="n">
        <v>46316.0416666667</v>
      </c>
      <c r="G2" s="4"/>
      <c r="H2" s="2" t="s">
        <v>4</v>
      </c>
      <c r="I2" s="3"/>
      <c r="J2" s="3"/>
      <c r="K2" s="3"/>
    </row>
    <row r="3" customFormat="false" ht="33.75" hidden="false" customHeight="true" outlineLevel="0" collapsed="false">
      <c r="A3" s="5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5" hidden="false" customHeight="true" outlineLevel="0" collapsed="false">
      <c r="A4" s="6" t="s">
        <v>6</v>
      </c>
      <c r="B4" s="7" t="s">
        <v>7</v>
      </c>
      <c r="C4" s="7"/>
      <c r="D4" s="8" t="s">
        <v>8</v>
      </c>
      <c r="E4" s="9" t="s">
        <v>9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customFormat="false" ht="15" hidden="false" customHeight="true" outlineLevel="0" collapsed="false">
      <c r="A5" s="10" t="s">
        <v>10</v>
      </c>
      <c r="B5" s="10"/>
      <c r="C5" s="10"/>
      <c r="D5" s="10"/>
      <c r="E5" s="10"/>
      <c r="F5" s="10"/>
      <c r="G5" s="11" t="s">
        <v>11</v>
      </c>
      <c r="H5" s="11"/>
      <c r="I5" s="11"/>
      <c r="J5" s="11"/>
      <c r="K5" s="12"/>
      <c r="L5" s="13" t="s">
        <v>12</v>
      </c>
      <c r="M5" s="13"/>
      <c r="N5" s="14" t="s">
        <v>13</v>
      </c>
      <c r="O5" s="14"/>
      <c r="P5" s="14"/>
      <c r="Q5" s="14"/>
      <c r="R5" s="14"/>
      <c r="S5" s="14"/>
    </row>
    <row r="6" customFormat="false" ht="48" hidden="false" customHeight="true" outlineLevel="0" collapsed="false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6" t="s">
        <v>20</v>
      </c>
      <c r="H6" s="16" t="s">
        <v>21</v>
      </c>
      <c r="I6" s="16" t="s">
        <v>22</v>
      </c>
      <c r="J6" s="16" t="s">
        <v>23</v>
      </c>
      <c r="K6" s="15" t="s">
        <v>24</v>
      </c>
      <c r="L6" s="17" t="s">
        <v>25</v>
      </c>
      <c r="M6" s="17" t="s">
        <v>26</v>
      </c>
      <c r="N6" s="18" t="s">
        <v>27</v>
      </c>
      <c r="O6" s="19" t="s">
        <v>28</v>
      </c>
      <c r="P6" s="19" t="s">
        <v>29</v>
      </c>
      <c r="Q6" s="18" t="s">
        <v>30</v>
      </c>
      <c r="R6" s="18" t="s">
        <v>31</v>
      </c>
      <c r="S6" s="18" t="s">
        <v>32</v>
      </c>
    </row>
    <row r="7" customFormat="false" ht="23.85" hidden="false" customHeight="false" outlineLevel="0" collapsed="false">
      <c r="A7" s="20" t="s">
        <v>33</v>
      </c>
      <c r="B7" s="20" t="s">
        <v>34</v>
      </c>
      <c r="C7" s="21" t="s">
        <v>35</v>
      </c>
      <c r="D7" s="21" t="s">
        <v>36</v>
      </c>
      <c r="E7" s="21" t="s">
        <v>37</v>
      </c>
      <c r="F7" s="20" t="s">
        <v>38</v>
      </c>
      <c r="G7" s="22" t="n">
        <v>0</v>
      </c>
      <c r="H7" s="23" t="n">
        <f aca="false">IF(G7="","",$F$2+G7/24)</f>
        <v>46316.0416666667</v>
      </c>
      <c r="I7" s="22" t="n">
        <v>2</v>
      </c>
      <c r="J7" s="23" t="n">
        <f aca="false">IF(OR(G7="",I7=""),"",$F$2+(G7+I7)/24)</f>
        <v>46316.125</v>
      </c>
      <c r="K7" s="20" t="n">
        <v>1</v>
      </c>
      <c r="L7" s="20" t="s">
        <v>39</v>
      </c>
      <c r="M7" s="20" t="s">
        <v>40</v>
      </c>
      <c r="N7" s="20" t="s">
        <v>41</v>
      </c>
      <c r="O7" s="21"/>
      <c r="P7" s="21"/>
      <c r="Q7" s="20" t="s">
        <v>40</v>
      </c>
      <c r="R7" s="20" t="s">
        <v>40</v>
      </c>
      <c r="S7" s="20" t="s">
        <v>42</v>
      </c>
    </row>
    <row r="8" customFormat="false" ht="15" hidden="false" customHeight="false" outlineLevel="0" collapsed="false">
      <c r="A8" s="20" t="s">
        <v>33</v>
      </c>
      <c r="B8" s="20" t="s">
        <v>34</v>
      </c>
      <c r="C8" s="21" t="s">
        <v>43</v>
      </c>
      <c r="D8" s="21" t="s">
        <v>44</v>
      </c>
      <c r="E8" s="21" t="s">
        <v>45</v>
      </c>
      <c r="F8" s="20" t="s">
        <v>38</v>
      </c>
      <c r="G8" s="22" t="n">
        <v>2</v>
      </c>
      <c r="H8" s="23" t="n">
        <f aca="false">IF(G8="","",$F$2+G8/24)</f>
        <v>46316.125</v>
      </c>
      <c r="I8" s="22" t="n">
        <v>2</v>
      </c>
      <c r="J8" s="23" t="n">
        <f aca="false">IF(OR(G8="",I8=""),"",$F$2+(G8+I8)/24)</f>
        <v>46316.2083333333</v>
      </c>
      <c r="K8" s="20" t="n">
        <v>1</v>
      </c>
      <c r="L8" s="20" t="s">
        <v>39</v>
      </c>
      <c r="M8" s="20" t="s">
        <v>40</v>
      </c>
      <c r="N8" s="20" t="s">
        <v>41</v>
      </c>
      <c r="O8" s="21"/>
      <c r="P8" s="21"/>
      <c r="Q8" s="20" t="s">
        <v>40</v>
      </c>
      <c r="R8" s="20" t="s">
        <v>40</v>
      </c>
      <c r="S8" s="20" t="s">
        <v>42</v>
      </c>
    </row>
    <row r="9" customFormat="false" ht="15" hidden="false" customHeight="false" outlineLevel="0" collapsed="false">
      <c r="A9" s="20" t="s">
        <v>33</v>
      </c>
      <c r="B9" s="20" t="s">
        <v>34</v>
      </c>
      <c r="C9" s="21" t="s">
        <v>46</v>
      </c>
      <c r="D9" s="21" t="s">
        <v>47</v>
      </c>
      <c r="E9" s="21" t="s">
        <v>48</v>
      </c>
      <c r="F9" s="20" t="s">
        <v>38</v>
      </c>
      <c r="G9" s="22" t="n">
        <v>4</v>
      </c>
      <c r="H9" s="23" t="n">
        <f aca="false">IF(G9="","",$F$2+G9/24)</f>
        <v>46316.2083333333</v>
      </c>
      <c r="I9" s="22" t="n">
        <v>1</v>
      </c>
      <c r="J9" s="23" t="n">
        <f aca="false">IF(OR(G9="",I9=""),"",$F$2+(G9+I9)/24)</f>
        <v>46316.25</v>
      </c>
      <c r="K9" s="20" t="n">
        <v>1</v>
      </c>
      <c r="L9" s="20" t="s">
        <v>39</v>
      </c>
      <c r="M9" s="20" t="s">
        <v>40</v>
      </c>
      <c r="N9" s="20" t="s">
        <v>41</v>
      </c>
      <c r="O9" s="21"/>
      <c r="P9" s="21"/>
      <c r="Q9" s="20" t="s">
        <v>40</v>
      </c>
      <c r="R9" s="20" t="s">
        <v>40</v>
      </c>
      <c r="S9" s="20" t="s">
        <v>42</v>
      </c>
    </row>
    <row r="10" customFormat="false" ht="15" hidden="false" customHeight="false" outlineLevel="0" collapsed="false">
      <c r="A10" s="20" t="s">
        <v>33</v>
      </c>
      <c r="B10" s="20" t="s">
        <v>34</v>
      </c>
      <c r="C10" s="21" t="s">
        <v>49</v>
      </c>
      <c r="D10" s="21" t="s">
        <v>50</v>
      </c>
      <c r="E10" s="21" t="s">
        <v>51</v>
      </c>
      <c r="F10" s="20" t="s">
        <v>38</v>
      </c>
      <c r="G10" s="22" t="n">
        <v>5</v>
      </c>
      <c r="H10" s="23" t="n">
        <f aca="false">IF(G10="","",$F$2+G10/24)</f>
        <v>46316.25</v>
      </c>
      <c r="I10" s="22" t="n">
        <v>2</v>
      </c>
      <c r="J10" s="23" t="n">
        <f aca="false">IF(OR(G10="",I10=""),"",$F$2+(G10+I10)/24)</f>
        <v>46316.3333333333</v>
      </c>
      <c r="K10" s="20" t="n">
        <v>1</v>
      </c>
      <c r="L10" s="20" t="s">
        <v>39</v>
      </c>
      <c r="M10" s="20" t="s">
        <v>40</v>
      </c>
      <c r="N10" s="20" t="s">
        <v>41</v>
      </c>
      <c r="O10" s="21"/>
      <c r="P10" s="21"/>
      <c r="Q10" s="20" t="s">
        <v>40</v>
      </c>
      <c r="R10" s="20" t="s">
        <v>40</v>
      </c>
      <c r="S10" s="20" t="s">
        <v>42</v>
      </c>
    </row>
    <row r="11" customFormat="false" ht="23.85" hidden="false" customHeight="false" outlineLevel="0" collapsed="false">
      <c r="A11" s="20" t="s">
        <v>33</v>
      </c>
      <c r="B11" s="20" t="s">
        <v>34</v>
      </c>
      <c r="C11" s="21" t="s">
        <v>52</v>
      </c>
      <c r="D11" s="21" t="s">
        <v>53</v>
      </c>
      <c r="E11" s="21" t="s">
        <v>54</v>
      </c>
      <c r="F11" s="20" t="s">
        <v>38</v>
      </c>
      <c r="G11" s="22" t="n">
        <v>7</v>
      </c>
      <c r="H11" s="23" t="n">
        <f aca="false">IF(G11="","",$F$2+G11/24)</f>
        <v>46316.3333333333</v>
      </c>
      <c r="I11" s="22" t="n">
        <v>3</v>
      </c>
      <c r="J11" s="23" t="n">
        <f aca="false">IF(OR(G11="",I11=""),"",$F$2+(G11+I11)/24)</f>
        <v>46316.4583333333</v>
      </c>
      <c r="K11" s="20" t="n">
        <v>2</v>
      </c>
      <c r="L11" s="20" t="s">
        <v>40</v>
      </c>
      <c r="M11" s="20" t="s">
        <v>40</v>
      </c>
      <c r="N11" s="20" t="s">
        <v>55</v>
      </c>
      <c r="O11" s="21"/>
      <c r="P11" s="21"/>
      <c r="Q11" s="20" t="s">
        <v>40</v>
      </c>
      <c r="R11" s="20" t="s">
        <v>40</v>
      </c>
      <c r="S11" s="20" t="s">
        <v>56</v>
      </c>
    </row>
    <row r="12" customFormat="false" ht="15" hidden="false" customHeight="false" outlineLevel="0" collapsed="false">
      <c r="A12" s="20" t="s">
        <v>33</v>
      </c>
      <c r="B12" s="20" t="s">
        <v>34</v>
      </c>
      <c r="C12" s="21" t="s">
        <v>57</v>
      </c>
      <c r="D12" s="21" t="s">
        <v>58</v>
      </c>
      <c r="E12" s="21"/>
      <c r="F12" s="20" t="s">
        <v>38</v>
      </c>
      <c r="G12" s="22" t="n">
        <v>10</v>
      </c>
      <c r="H12" s="23" t="n">
        <f aca="false">IF(G12="","",$F$2+G12/24)</f>
        <v>46316.4583333333</v>
      </c>
      <c r="I12" s="22" t="n">
        <v>1</v>
      </c>
      <c r="J12" s="23" t="n">
        <f aca="false">IF(OR(G12="",I12=""),"",$F$2+(G12+I12)/24)</f>
        <v>46316.5</v>
      </c>
      <c r="K12" s="20" t="n">
        <v>1</v>
      </c>
      <c r="L12" s="20" t="s">
        <v>40</v>
      </c>
      <c r="M12" s="20" t="s">
        <v>40</v>
      </c>
      <c r="N12" s="20"/>
      <c r="O12" s="21"/>
      <c r="P12" s="21"/>
      <c r="Q12" s="20"/>
      <c r="R12" s="20"/>
      <c r="S12" s="20"/>
    </row>
    <row r="13" customFormat="false" ht="15" hidden="false" customHeight="false" outlineLevel="0" collapsed="false">
      <c r="A13" s="20" t="s">
        <v>33</v>
      </c>
      <c r="B13" s="20" t="s">
        <v>34</v>
      </c>
      <c r="C13" s="21" t="s">
        <v>59</v>
      </c>
      <c r="D13" s="21" t="s">
        <v>60</v>
      </c>
      <c r="E13" s="21" t="s">
        <v>61</v>
      </c>
      <c r="F13" s="20" t="s">
        <v>38</v>
      </c>
      <c r="G13" s="22" t="n">
        <v>11</v>
      </c>
      <c r="H13" s="23" t="n">
        <f aca="false">IF(G13="","",$F$2+G13/24)</f>
        <v>46316.5</v>
      </c>
      <c r="I13" s="22" t="n">
        <v>1</v>
      </c>
      <c r="J13" s="23" t="n">
        <f aca="false">IF(OR(G13="",I13=""),"",$F$2+(G13+I13)/24)</f>
        <v>46316.5416666667</v>
      </c>
      <c r="K13" s="20" t="n">
        <v>1</v>
      </c>
      <c r="L13" s="20" t="s">
        <v>40</v>
      </c>
      <c r="M13" s="20" t="s">
        <v>40</v>
      </c>
      <c r="N13" s="20"/>
      <c r="O13" s="21"/>
      <c r="P13" s="21"/>
      <c r="Q13" s="20"/>
      <c r="R13" s="20"/>
      <c r="S13" s="20"/>
    </row>
    <row r="14" customFormat="false" ht="15" hidden="false" customHeight="false" outlineLevel="0" collapsed="false">
      <c r="A14" s="20" t="s">
        <v>33</v>
      </c>
      <c r="B14" s="20" t="s">
        <v>34</v>
      </c>
      <c r="C14" s="21" t="s">
        <v>62</v>
      </c>
      <c r="D14" s="21" t="s">
        <v>63</v>
      </c>
      <c r="E14" s="21"/>
      <c r="F14" s="20" t="s">
        <v>38</v>
      </c>
      <c r="G14" s="22" t="n">
        <v>12</v>
      </c>
      <c r="H14" s="23" t="n">
        <f aca="false">IF(G14="","",$F$2+G14/24)</f>
        <v>46316.5416666667</v>
      </c>
      <c r="I14" s="22" t="n">
        <v>1</v>
      </c>
      <c r="J14" s="23" t="n">
        <f aca="false">IF(OR(G14="",I14=""),"",$F$2+(G14+I14)/24)</f>
        <v>46316.5833333333</v>
      </c>
      <c r="K14" s="20" t="n">
        <v>1</v>
      </c>
      <c r="L14" s="20" t="s">
        <v>40</v>
      </c>
      <c r="M14" s="20" t="s">
        <v>40</v>
      </c>
      <c r="N14" s="20"/>
      <c r="O14" s="21"/>
      <c r="P14" s="21"/>
      <c r="Q14" s="20"/>
      <c r="R14" s="20"/>
      <c r="S14" s="20"/>
    </row>
    <row r="15" customFormat="false" ht="23.85" hidden="false" customHeight="false" outlineLevel="0" collapsed="false">
      <c r="A15" s="20" t="s">
        <v>33</v>
      </c>
      <c r="B15" s="20" t="s">
        <v>34</v>
      </c>
      <c r="C15" s="21" t="s">
        <v>64</v>
      </c>
      <c r="D15" s="21" t="s">
        <v>65</v>
      </c>
      <c r="E15" s="21" t="s">
        <v>66</v>
      </c>
      <c r="F15" s="20" t="s">
        <v>38</v>
      </c>
      <c r="G15" s="22" t="n">
        <v>13</v>
      </c>
      <c r="H15" s="23" t="n">
        <f aca="false">IF(G15="","",$F$2+G15/24)</f>
        <v>46316.5833333333</v>
      </c>
      <c r="I15" s="22" t="n">
        <v>5</v>
      </c>
      <c r="J15" s="23" t="n">
        <f aca="false">IF(OR(G15="",I15=""),"",$F$2+(G15+I15)/24)</f>
        <v>46316.7916666667</v>
      </c>
      <c r="K15" s="20" t="n">
        <v>2</v>
      </c>
      <c r="L15" s="20" t="s">
        <v>40</v>
      </c>
      <c r="M15" s="20" t="s">
        <v>40</v>
      </c>
      <c r="N15" s="20" t="s">
        <v>55</v>
      </c>
      <c r="O15" s="21"/>
      <c r="P15" s="21"/>
      <c r="Q15" s="20" t="s">
        <v>40</v>
      </c>
      <c r="R15" s="20" t="s">
        <v>40</v>
      </c>
      <c r="S15" s="20" t="s">
        <v>56</v>
      </c>
    </row>
    <row r="16" customFormat="false" ht="23.85" hidden="false" customHeight="false" outlineLevel="0" collapsed="false">
      <c r="A16" s="20" t="s">
        <v>33</v>
      </c>
      <c r="B16" s="20" t="s">
        <v>34</v>
      </c>
      <c r="C16" s="21" t="s">
        <v>67</v>
      </c>
      <c r="D16" s="21" t="s">
        <v>68</v>
      </c>
      <c r="E16" s="21"/>
      <c r="F16" s="20" t="s">
        <v>38</v>
      </c>
      <c r="G16" s="22" t="n">
        <v>18</v>
      </c>
      <c r="H16" s="23" t="n">
        <f aca="false">IF(G16="","",$F$2+G16/24)</f>
        <v>46316.7916666667</v>
      </c>
      <c r="I16" s="22" t="n">
        <v>3</v>
      </c>
      <c r="J16" s="23" t="n">
        <f aca="false">IF(OR(G16="",I16=""),"",$F$2+(G16+I16)/24)</f>
        <v>46316.9166666667</v>
      </c>
      <c r="K16" s="20" t="n">
        <v>2</v>
      </c>
      <c r="L16" s="20" t="s">
        <v>40</v>
      </c>
      <c r="M16" s="20" t="s">
        <v>40</v>
      </c>
      <c r="N16" s="20" t="s">
        <v>55</v>
      </c>
      <c r="O16" s="21"/>
      <c r="P16" s="21"/>
      <c r="Q16" s="20" t="s">
        <v>40</v>
      </c>
      <c r="R16" s="20" t="s">
        <v>40</v>
      </c>
      <c r="S16" s="20" t="s">
        <v>56</v>
      </c>
    </row>
    <row r="17" customFormat="false" ht="15" hidden="false" customHeight="false" outlineLevel="0" collapsed="false">
      <c r="A17" s="20" t="s">
        <v>33</v>
      </c>
      <c r="B17" s="20" t="s">
        <v>34</v>
      </c>
      <c r="C17" s="21" t="s">
        <v>69</v>
      </c>
      <c r="D17" s="21" t="s">
        <v>70</v>
      </c>
      <c r="E17" s="21" t="s">
        <v>71</v>
      </c>
      <c r="F17" s="20" t="s">
        <v>38</v>
      </c>
      <c r="G17" s="22" t="n">
        <v>61</v>
      </c>
      <c r="H17" s="23" t="n">
        <f aca="false">IF(G17="","",$F$2+G17/24)</f>
        <v>46318.5833333333</v>
      </c>
      <c r="I17" s="22" t="n">
        <v>2</v>
      </c>
      <c r="J17" s="23" t="n">
        <f aca="false">IF(OR(G17="",I17=""),"",$F$2+(G17+I17)/24)</f>
        <v>46318.6666666667</v>
      </c>
      <c r="K17" s="20" t="n">
        <v>2</v>
      </c>
      <c r="L17" s="20" t="s">
        <v>40</v>
      </c>
      <c r="M17" s="20" t="s">
        <v>40</v>
      </c>
      <c r="N17" s="20"/>
      <c r="O17" s="21"/>
      <c r="P17" s="21"/>
      <c r="Q17" s="20"/>
      <c r="R17" s="20"/>
      <c r="S17" s="20"/>
    </row>
    <row r="18" customFormat="false" ht="15" hidden="false" customHeight="false" outlineLevel="0" collapsed="false">
      <c r="A18" s="20" t="s">
        <v>33</v>
      </c>
      <c r="B18" s="20" t="s">
        <v>34</v>
      </c>
      <c r="C18" s="21" t="s">
        <v>72</v>
      </c>
      <c r="D18" s="21" t="s">
        <v>73</v>
      </c>
      <c r="E18" s="21"/>
      <c r="F18" s="20" t="s">
        <v>38</v>
      </c>
      <c r="G18" s="22" t="n">
        <v>63</v>
      </c>
      <c r="H18" s="23" t="n">
        <f aca="false">IF(G18="","",$F$2+G18/24)</f>
        <v>46318.6666666667</v>
      </c>
      <c r="I18" s="22" t="n">
        <v>5</v>
      </c>
      <c r="J18" s="23" t="n">
        <f aca="false">IF(OR(G18="",I18=""),"",$F$2+(G18+I18)/24)</f>
        <v>46318.875</v>
      </c>
      <c r="K18" s="20" t="n">
        <v>2</v>
      </c>
      <c r="L18" s="20" t="s">
        <v>40</v>
      </c>
      <c r="M18" s="20" t="s">
        <v>40</v>
      </c>
      <c r="N18" s="20"/>
      <c r="O18" s="21"/>
      <c r="P18" s="21"/>
      <c r="Q18" s="20"/>
      <c r="R18" s="20"/>
      <c r="S18" s="20"/>
    </row>
    <row r="19" customFormat="false" ht="15" hidden="false" customHeight="false" outlineLevel="0" collapsed="false">
      <c r="A19" s="20" t="s">
        <v>33</v>
      </c>
      <c r="B19" s="20" t="s">
        <v>34</v>
      </c>
      <c r="C19" s="21" t="s">
        <v>74</v>
      </c>
      <c r="D19" s="21" t="s">
        <v>75</v>
      </c>
      <c r="E19" s="21"/>
      <c r="F19" s="20" t="s">
        <v>38</v>
      </c>
      <c r="G19" s="22" t="n">
        <v>68</v>
      </c>
      <c r="H19" s="23" t="n">
        <f aca="false">IF(G19="","",$F$2+G19/24)</f>
        <v>46318.875</v>
      </c>
      <c r="I19" s="22" t="n">
        <v>1</v>
      </c>
      <c r="J19" s="23" t="n">
        <f aca="false">IF(OR(G19="",I19=""),"",$F$2+(G19+I19)/24)</f>
        <v>46318.9166666667</v>
      </c>
      <c r="K19" s="20" t="n">
        <v>1</v>
      </c>
      <c r="L19" s="20" t="s">
        <v>40</v>
      </c>
      <c r="M19" s="20" t="s">
        <v>40</v>
      </c>
      <c r="N19" s="20" t="s">
        <v>55</v>
      </c>
      <c r="O19" s="21"/>
      <c r="P19" s="21"/>
      <c r="Q19" s="20" t="s">
        <v>40</v>
      </c>
      <c r="R19" s="20" t="s">
        <v>40</v>
      </c>
      <c r="S19" s="20" t="s">
        <v>56</v>
      </c>
    </row>
    <row r="20" customFormat="false" ht="15" hidden="false" customHeight="false" outlineLevel="0" collapsed="false">
      <c r="A20" s="20" t="s">
        <v>33</v>
      </c>
      <c r="B20" s="20" t="s">
        <v>34</v>
      </c>
      <c r="C20" s="21"/>
      <c r="D20" s="21" t="s">
        <v>76</v>
      </c>
      <c r="E20" s="21"/>
      <c r="F20" s="20" t="s">
        <v>38</v>
      </c>
      <c r="G20" s="22" t="n">
        <v>69</v>
      </c>
      <c r="H20" s="23" t="n">
        <f aca="false">IF(G20="","",$F$2+G20/24)</f>
        <v>46318.9166666667</v>
      </c>
      <c r="I20" s="22" t="n">
        <v>1</v>
      </c>
      <c r="J20" s="23" t="n">
        <f aca="false">IF(OR(G20="",I20=""),"",$F$2+(G20+I20)/24)</f>
        <v>46318.9583333333</v>
      </c>
      <c r="K20" s="20" t="n">
        <v>1</v>
      </c>
      <c r="L20" s="20" t="s">
        <v>40</v>
      </c>
      <c r="M20" s="20" t="s">
        <v>40</v>
      </c>
      <c r="N20" s="20"/>
      <c r="O20" s="21"/>
      <c r="P20" s="21"/>
      <c r="Q20" s="20"/>
      <c r="R20" s="20"/>
      <c r="S20" s="20"/>
    </row>
    <row r="21" customFormat="false" ht="23.85" hidden="false" customHeight="false" outlineLevel="0" collapsed="false">
      <c r="A21" s="20" t="s">
        <v>33</v>
      </c>
      <c r="B21" s="20" t="s">
        <v>34</v>
      </c>
      <c r="C21" s="21" t="s">
        <v>77</v>
      </c>
      <c r="D21" s="21" t="s">
        <v>78</v>
      </c>
      <c r="E21" s="21" t="s">
        <v>79</v>
      </c>
      <c r="F21" s="20" t="s">
        <v>80</v>
      </c>
      <c r="G21" s="22" t="n">
        <v>85</v>
      </c>
      <c r="H21" s="23" t="n">
        <f aca="false">IF(G21="","",$F$2+G21/24)</f>
        <v>46319.5833333333</v>
      </c>
      <c r="I21" s="22" t="n">
        <v>8</v>
      </c>
      <c r="J21" s="23" t="n">
        <f aca="false">IF(OR(G21="",I21=""),"",$F$2+(G21+I21)/24)</f>
        <v>46319.9166666667</v>
      </c>
      <c r="K21" s="20" t="n">
        <v>2</v>
      </c>
      <c r="L21" s="20" t="s">
        <v>40</v>
      </c>
      <c r="M21" s="20" t="s">
        <v>40</v>
      </c>
      <c r="N21" s="20" t="s">
        <v>55</v>
      </c>
      <c r="O21" s="21"/>
      <c r="P21" s="21"/>
      <c r="Q21" s="20" t="s">
        <v>40</v>
      </c>
      <c r="R21" s="20" t="s">
        <v>40</v>
      </c>
      <c r="S21" s="20" t="s">
        <v>56</v>
      </c>
    </row>
    <row r="22" customFormat="false" ht="23.85" hidden="false" customHeight="false" outlineLevel="0" collapsed="false">
      <c r="A22" s="24" t="s">
        <v>33</v>
      </c>
      <c r="B22" s="24" t="s">
        <v>81</v>
      </c>
      <c r="C22" s="25" t="s">
        <v>82</v>
      </c>
      <c r="D22" s="25" t="s">
        <v>83</v>
      </c>
      <c r="E22" s="25" t="s">
        <v>84</v>
      </c>
      <c r="F22" s="24" t="s">
        <v>80</v>
      </c>
      <c r="G22" s="26" t="n">
        <v>4</v>
      </c>
      <c r="H22" s="27" t="n">
        <f aca="false">IF(G22="","",$F$2+G22/24)</f>
        <v>46316.2083333333</v>
      </c>
      <c r="I22" s="26" t="n">
        <v>7</v>
      </c>
      <c r="J22" s="27" t="n">
        <f aca="false">IF(OR(G22="",I22=""),"",$F$2+(G22+I22)/24)</f>
        <v>46316.5</v>
      </c>
      <c r="K22" s="24" t="n">
        <v>1</v>
      </c>
      <c r="L22" s="24" t="s">
        <v>40</v>
      </c>
      <c r="M22" s="24" t="s">
        <v>40</v>
      </c>
      <c r="N22" s="24"/>
      <c r="O22" s="25"/>
      <c r="P22" s="25"/>
      <c r="Q22" s="24"/>
      <c r="R22" s="24"/>
      <c r="S22" s="24"/>
    </row>
    <row r="23" customFormat="false" ht="23.85" hidden="false" customHeight="false" outlineLevel="0" collapsed="false">
      <c r="A23" s="20" t="s">
        <v>33</v>
      </c>
      <c r="B23" s="20" t="s">
        <v>81</v>
      </c>
      <c r="C23" s="21" t="s">
        <v>85</v>
      </c>
      <c r="D23" s="21" t="s">
        <v>86</v>
      </c>
      <c r="E23" s="21" t="s">
        <v>87</v>
      </c>
      <c r="F23" s="20" t="s">
        <v>38</v>
      </c>
      <c r="G23" s="22" t="n">
        <v>11</v>
      </c>
      <c r="H23" s="23" t="n">
        <f aca="false">IF(G23="","",$F$2+G23/24)</f>
        <v>46316.5</v>
      </c>
      <c r="I23" s="22" t="n">
        <v>1</v>
      </c>
      <c r="J23" s="23" t="n">
        <f aca="false">IF(OR(G23="",I23=""),"",$F$2+(G23+I23)/24)</f>
        <v>46316.5416666667</v>
      </c>
      <c r="K23" s="20" t="n">
        <v>1</v>
      </c>
      <c r="L23" s="20" t="s">
        <v>40</v>
      </c>
      <c r="M23" s="20" t="s">
        <v>40</v>
      </c>
      <c r="N23" s="20" t="s">
        <v>55</v>
      </c>
      <c r="O23" s="21"/>
      <c r="P23" s="21"/>
      <c r="Q23" s="20" t="s">
        <v>40</v>
      </c>
      <c r="R23" s="20" t="s">
        <v>40</v>
      </c>
      <c r="S23" s="20" t="s">
        <v>56</v>
      </c>
    </row>
    <row r="24" customFormat="false" ht="15" hidden="false" customHeight="false" outlineLevel="0" collapsed="false">
      <c r="A24" s="20" t="s">
        <v>33</v>
      </c>
      <c r="B24" s="20" t="s">
        <v>81</v>
      </c>
      <c r="C24" s="21"/>
      <c r="D24" s="21" t="s">
        <v>88</v>
      </c>
      <c r="E24" s="21" t="s">
        <v>87</v>
      </c>
      <c r="F24" s="20" t="s">
        <v>38</v>
      </c>
      <c r="G24" s="22" t="n">
        <v>12</v>
      </c>
      <c r="H24" s="23" t="n">
        <f aca="false">IF(G24="","",$F$2+G24/24)</f>
        <v>46316.5416666667</v>
      </c>
      <c r="I24" s="22" t="n">
        <v>1</v>
      </c>
      <c r="J24" s="23" t="n">
        <f aca="false">IF(OR(G24="",I24=""),"",$F$2+(G24+I24)/24)</f>
        <v>46316.5833333333</v>
      </c>
      <c r="K24" s="20" t="n">
        <v>1</v>
      </c>
      <c r="L24" s="20" t="s">
        <v>40</v>
      </c>
      <c r="M24" s="20" t="s">
        <v>40</v>
      </c>
      <c r="N24" s="20"/>
      <c r="O24" s="21"/>
      <c r="P24" s="21"/>
      <c r="Q24" s="20"/>
      <c r="R24" s="20"/>
      <c r="S24" s="20"/>
    </row>
    <row r="25" customFormat="false" ht="15" hidden="false" customHeight="false" outlineLevel="0" collapsed="false">
      <c r="A25" s="20" t="s">
        <v>33</v>
      </c>
      <c r="B25" s="20" t="s">
        <v>81</v>
      </c>
      <c r="C25" s="21" t="s">
        <v>89</v>
      </c>
      <c r="D25" s="21" t="s">
        <v>90</v>
      </c>
      <c r="E25" s="21" t="s">
        <v>91</v>
      </c>
      <c r="F25" s="20" t="s">
        <v>38</v>
      </c>
      <c r="G25" s="22" t="n">
        <v>18</v>
      </c>
      <c r="H25" s="23" t="n">
        <f aca="false">IF(G25="","",$F$2+G25/24)</f>
        <v>46316.7916666667</v>
      </c>
      <c r="I25" s="22" t="n">
        <v>1</v>
      </c>
      <c r="J25" s="23" t="n">
        <f aca="false">IF(OR(G25="",I25=""),"",$F$2+(G25+I25)/24)</f>
        <v>46316.8333333333</v>
      </c>
      <c r="K25" s="20" t="n">
        <v>1</v>
      </c>
      <c r="L25" s="20" t="s">
        <v>40</v>
      </c>
      <c r="M25" s="20" t="s">
        <v>40</v>
      </c>
      <c r="N25" s="20"/>
      <c r="O25" s="21"/>
      <c r="P25" s="21"/>
      <c r="Q25" s="20"/>
      <c r="R25" s="20"/>
      <c r="S25" s="20"/>
    </row>
    <row r="26" customFormat="false" ht="15" hidden="false" customHeight="false" outlineLevel="0" collapsed="false">
      <c r="A26" s="20" t="s">
        <v>33</v>
      </c>
      <c r="B26" s="20" t="s">
        <v>81</v>
      </c>
      <c r="C26" s="21" t="s">
        <v>89</v>
      </c>
      <c r="D26" s="21" t="s">
        <v>92</v>
      </c>
      <c r="E26" s="21"/>
      <c r="F26" s="20" t="s">
        <v>38</v>
      </c>
      <c r="G26" s="22" t="n">
        <v>19</v>
      </c>
      <c r="H26" s="23" t="n">
        <f aca="false">IF(G26="","",$F$2+G26/24)</f>
        <v>46316.8333333333</v>
      </c>
      <c r="I26" s="22" t="n">
        <v>2</v>
      </c>
      <c r="J26" s="23" t="n">
        <f aca="false">IF(OR(G26="",I26=""),"",$F$2+(G26+I26)/24)</f>
        <v>46316.9166666667</v>
      </c>
      <c r="K26" s="20" t="n">
        <v>1</v>
      </c>
      <c r="L26" s="20" t="s">
        <v>40</v>
      </c>
      <c r="M26" s="20" t="s">
        <v>40</v>
      </c>
      <c r="N26" s="20"/>
      <c r="O26" s="21"/>
      <c r="P26" s="21"/>
      <c r="Q26" s="20"/>
      <c r="R26" s="20"/>
      <c r="S26" s="20"/>
    </row>
    <row r="27" customFormat="false" ht="23.85" hidden="false" customHeight="false" outlineLevel="0" collapsed="false">
      <c r="A27" s="20" t="s">
        <v>33</v>
      </c>
      <c r="B27" s="20" t="s">
        <v>81</v>
      </c>
      <c r="C27" s="21" t="s">
        <v>52</v>
      </c>
      <c r="D27" s="21" t="s">
        <v>93</v>
      </c>
      <c r="E27" s="21" t="s">
        <v>94</v>
      </c>
      <c r="F27" s="20" t="s">
        <v>38</v>
      </c>
      <c r="G27" s="22" t="n">
        <v>21</v>
      </c>
      <c r="H27" s="23" t="n">
        <f aca="false">IF(G27="","",$F$2+G27/24)</f>
        <v>46316.9166666667</v>
      </c>
      <c r="I27" s="22" t="n">
        <v>4</v>
      </c>
      <c r="J27" s="23" t="n">
        <f aca="false">IF(OR(G27="",I27=""),"",$F$2+(G27+I27)/24)</f>
        <v>46317.0833333333</v>
      </c>
      <c r="K27" s="20" t="n">
        <v>2</v>
      </c>
      <c r="L27" s="20" t="s">
        <v>40</v>
      </c>
      <c r="M27" s="20" t="s">
        <v>40</v>
      </c>
      <c r="N27" s="20" t="s">
        <v>55</v>
      </c>
      <c r="O27" s="21"/>
      <c r="P27" s="21"/>
      <c r="Q27" s="20" t="s">
        <v>40</v>
      </c>
      <c r="R27" s="20" t="s">
        <v>40</v>
      </c>
      <c r="S27" s="20" t="s">
        <v>56</v>
      </c>
    </row>
    <row r="28" customFormat="false" ht="23.85" hidden="false" customHeight="false" outlineLevel="0" collapsed="false">
      <c r="A28" s="20" t="s">
        <v>33</v>
      </c>
      <c r="B28" s="20" t="s">
        <v>81</v>
      </c>
      <c r="C28" s="21" t="s">
        <v>95</v>
      </c>
      <c r="D28" s="21" t="s">
        <v>96</v>
      </c>
      <c r="E28" s="21"/>
      <c r="F28" s="20" t="s">
        <v>38</v>
      </c>
      <c r="G28" s="22" t="n">
        <v>25</v>
      </c>
      <c r="H28" s="23" t="n">
        <f aca="false">IF(G28="","",$F$2+G28/24)</f>
        <v>46317.0833333333</v>
      </c>
      <c r="I28" s="22" t="n">
        <v>4</v>
      </c>
      <c r="J28" s="23" t="n">
        <f aca="false">IF(OR(G28="",I28=""),"",$F$2+(G28+I28)/24)</f>
        <v>46317.25</v>
      </c>
      <c r="K28" s="20" t="n">
        <v>2</v>
      </c>
      <c r="L28" s="20" t="s">
        <v>40</v>
      </c>
      <c r="M28" s="20" t="s">
        <v>40</v>
      </c>
      <c r="N28" s="20" t="s">
        <v>55</v>
      </c>
      <c r="O28" s="21"/>
      <c r="P28" s="21"/>
      <c r="Q28" s="20" t="s">
        <v>40</v>
      </c>
      <c r="R28" s="20" t="s">
        <v>40</v>
      </c>
      <c r="S28" s="20" t="s">
        <v>56</v>
      </c>
    </row>
    <row r="29" customFormat="false" ht="23.85" hidden="false" customHeight="false" outlineLevel="0" collapsed="false">
      <c r="A29" s="20" t="s">
        <v>33</v>
      </c>
      <c r="B29" s="20" t="s">
        <v>81</v>
      </c>
      <c r="C29" s="21" t="s">
        <v>97</v>
      </c>
      <c r="D29" s="21" t="s">
        <v>98</v>
      </c>
      <c r="E29" s="21" t="s">
        <v>99</v>
      </c>
      <c r="F29" s="20" t="s">
        <v>38</v>
      </c>
      <c r="G29" s="22" t="n">
        <v>29</v>
      </c>
      <c r="H29" s="23" t="n">
        <f aca="false">IF(G29="","",$F$2+G29/24)</f>
        <v>46317.25</v>
      </c>
      <c r="I29" s="22" t="n">
        <v>4</v>
      </c>
      <c r="J29" s="23" t="n">
        <f aca="false">IF(OR(G29="",I29=""),"",$F$2+(G29+I29)/24)</f>
        <v>46317.4166666667</v>
      </c>
      <c r="K29" s="20" t="n">
        <v>2</v>
      </c>
      <c r="L29" s="20" t="s">
        <v>40</v>
      </c>
      <c r="M29" s="20" t="s">
        <v>40</v>
      </c>
      <c r="N29" s="20" t="s">
        <v>55</v>
      </c>
      <c r="O29" s="21"/>
      <c r="P29" s="21"/>
      <c r="Q29" s="20" t="s">
        <v>40</v>
      </c>
      <c r="R29" s="20" t="s">
        <v>40</v>
      </c>
      <c r="S29" s="20" t="s">
        <v>56</v>
      </c>
    </row>
    <row r="30" customFormat="false" ht="23.85" hidden="false" customHeight="false" outlineLevel="0" collapsed="false">
      <c r="A30" s="20" t="s">
        <v>33</v>
      </c>
      <c r="B30" s="20" t="s">
        <v>81</v>
      </c>
      <c r="C30" s="21" t="s">
        <v>100</v>
      </c>
      <c r="D30" s="21" t="s">
        <v>101</v>
      </c>
      <c r="E30" s="21"/>
      <c r="F30" s="20" t="s">
        <v>38</v>
      </c>
      <c r="G30" s="22" t="n">
        <v>33</v>
      </c>
      <c r="H30" s="23" t="n">
        <f aca="false">IF(G30="","",$F$2+G30/24)</f>
        <v>46317.4166666667</v>
      </c>
      <c r="I30" s="22" t="n">
        <v>1</v>
      </c>
      <c r="J30" s="23" t="n">
        <f aca="false">IF(OR(G30="",I30=""),"",$F$2+(G30+I30)/24)</f>
        <v>46317.4583333333</v>
      </c>
      <c r="K30" s="20" t="n">
        <v>2</v>
      </c>
      <c r="L30" s="20" t="s">
        <v>40</v>
      </c>
      <c r="M30" s="20" t="s">
        <v>40</v>
      </c>
      <c r="N30" s="20" t="s">
        <v>55</v>
      </c>
      <c r="O30" s="21"/>
      <c r="P30" s="21"/>
      <c r="Q30" s="20" t="s">
        <v>40</v>
      </c>
      <c r="R30" s="20" t="s">
        <v>40</v>
      </c>
      <c r="S30" s="20" t="s">
        <v>56</v>
      </c>
    </row>
    <row r="31" customFormat="false" ht="15" hidden="false" customHeight="false" outlineLevel="0" collapsed="false">
      <c r="A31" s="20" t="s">
        <v>33</v>
      </c>
      <c r="B31" s="20" t="s">
        <v>81</v>
      </c>
      <c r="C31" s="21" t="s">
        <v>102</v>
      </c>
      <c r="D31" s="21" t="s">
        <v>103</v>
      </c>
      <c r="E31" s="21"/>
      <c r="F31" s="20" t="s">
        <v>38</v>
      </c>
      <c r="G31" s="22" t="n">
        <v>34</v>
      </c>
      <c r="H31" s="23" t="n">
        <f aca="false">IF(G31="","",$F$2+G31/24)</f>
        <v>46317.4583333333</v>
      </c>
      <c r="I31" s="22" t="n">
        <v>3</v>
      </c>
      <c r="J31" s="23" t="n">
        <f aca="false">IF(OR(G31="",I31=""),"",$F$2+(G31+I31)/24)</f>
        <v>46317.5833333333</v>
      </c>
      <c r="K31" s="20" t="n">
        <v>2</v>
      </c>
      <c r="L31" s="20" t="s">
        <v>40</v>
      </c>
      <c r="M31" s="20" t="s">
        <v>40</v>
      </c>
      <c r="N31" s="20" t="s">
        <v>55</v>
      </c>
      <c r="O31" s="21"/>
      <c r="P31" s="21"/>
      <c r="Q31" s="20" t="s">
        <v>40</v>
      </c>
      <c r="R31" s="20" t="s">
        <v>40</v>
      </c>
      <c r="S31" s="20" t="s">
        <v>56</v>
      </c>
    </row>
    <row r="32" customFormat="false" ht="23.85" hidden="false" customHeight="false" outlineLevel="0" collapsed="false">
      <c r="A32" s="20" t="s">
        <v>33</v>
      </c>
      <c r="B32" s="20" t="s">
        <v>81</v>
      </c>
      <c r="C32" s="21" t="s">
        <v>104</v>
      </c>
      <c r="D32" s="21" t="s">
        <v>105</v>
      </c>
      <c r="E32" s="21" t="s">
        <v>106</v>
      </c>
      <c r="F32" s="20" t="s">
        <v>38</v>
      </c>
      <c r="G32" s="22" t="n">
        <v>37</v>
      </c>
      <c r="H32" s="23" t="n">
        <f aca="false">IF(G32="","",$F$2+G32/24)</f>
        <v>46317.5833333333</v>
      </c>
      <c r="I32" s="22" t="n">
        <v>8</v>
      </c>
      <c r="J32" s="23" t="n">
        <f aca="false">IF(OR(G32="",I32=""),"",$F$2+(G32+I32)/24)</f>
        <v>46317.9166666667</v>
      </c>
      <c r="K32" s="20" t="n">
        <v>2</v>
      </c>
      <c r="L32" s="20" t="s">
        <v>40</v>
      </c>
      <c r="M32" s="20" t="s">
        <v>40</v>
      </c>
      <c r="N32" s="20" t="s">
        <v>55</v>
      </c>
      <c r="O32" s="21"/>
      <c r="P32" s="21"/>
      <c r="Q32" s="20" t="s">
        <v>40</v>
      </c>
      <c r="R32" s="20" t="s">
        <v>40</v>
      </c>
      <c r="S32" s="20" t="s">
        <v>56</v>
      </c>
    </row>
    <row r="33" customFormat="false" ht="15" hidden="false" customHeight="false" outlineLevel="0" collapsed="false">
      <c r="A33" s="20" t="s">
        <v>33</v>
      </c>
      <c r="B33" s="20" t="s">
        <v>81</v>
      </c>
      <c r="C33" s="21" t="s">
        <v>85</v>
      </c>
      <c r="D33" s="21" t="s">
        <v>107</v>
      </c>
      <c r="E33" s="21" t="s">
        <v>108</v>
      </c>
      <c r="F33" s="20" t="s">
        <v>38</v>
      </c>
      <c r="G33" s="22" t="n">
        <v>57</v>
      </c>
      <c r="H33" s="23" t="n">
        <f aca="false">IF(G33="","",$F$2+G33/24)</f>
        <v>46318.4166666667</v>
      </c>
      <c r="I33" s="22" t="n">
        <v>4</v>
      </c>
      <c r="J33" s="23" t="n">
        <f aca="false">IF(OR(G33="",I33=""),"",$F$2+(G33+I33)/24)</f>
        <v>46318.5833333333</v>
      </c>
      <c r="K33" s="20" t="n">
        <v>1</v>
      </c>
      <c r="L33" s="20" t="s">
        <v>40</v>
      </c>
      <c r="M33" s="20" t="s">
        <v>40</v>
      </c>
      <c r="N33" s="20" t="s">
        <v>41</v>
      </c>
      <c r="O33" s="21"/>
      <c r="P33" s="21"/>
      <c r="Q33" s="20" t="s">
        <v>40</v>
      </c>
      <c r="R33" s="20" t="s">
        <v>40</v>
      </c>
      <c r="S33" s="20" t="s">
        <v>109</v>
      </c>
    </row>
    <row r="34" customFormat="false" ht="15" hidden="false" customHeight="false" outlineLevel="0" collapsed="false">
      <c r="A34" s="20" t="s">
        <v>33</v>
      </c>
      <c r="B34" s="20" t="s">
        <v>81</v>
      </c>
      <c r="C34" s="21" t="s">
        <v>110</v>
      </c>
      <c r="D34" s="21" t="s">
        <v>111</v>
      </c>
      <c r="E34" s="21" t="s">
        <v>112</v>
      </c>
      <c r="F34" s="20" t="s">
        <v>80</v>
      </c>
      <c r="G34" s="22" t="n">
        <v>101</v>
      </c>
      <c r="H34" s="23" t="n">
        <f aca="false">IF(G34="","",$F$2+G34/24)</f>
        <v>46320.25</v>
      </c>
      <c r="I34" s="22" t="n">
        <v>8</v>
      </c>
      <c r="J34" s="23" t="n">
        <f aca="false">IF(OR(G34="",I34=""),"",$F$2+(G34+I34)/24)</f>
        <v>46320.5833333333</v>
      </c>
      <c r="K34" s="20" t="n">
        <v>2</v>
      </c>
      <c r="L34" s="20" t="s">
        <v>40</v>
      </c>
      <c r="M34" s="20" t="s">
        <v>40</v>
      </c>
      <c r="N34" s="20"/>
      <c r="O34" s="21"/>
      <c r="P34" s="21"/>
      <c r="Q34" s="20"/>
      <c r="R34" s="20"/>
      <c r="S34" s="20"/>
    </row>
    <row r="35" customFormat="false" ht="15" hidden="false" customHeight="false" outlineLevel="0" collapsed="false">
      <c r="A35" s="20" t="s">
        <v>33</v>
      </c>
      <c r="B35" s="20" t="s">
        <v>81</v>
      </c>
      <c r="C35" s="21" t="s">
        <v>110</v>
      </c>
      <c r="D35" s="21" t="s">
        <v>113</v>
      </c>
      <c r="E35" s="21" t="s">
        <v>79</v>
      </c>
      <c r="F35" s="20" t="s">
        <v>80</v>
      </c>
      <c r="G35" s="22" t="n">
        <v>109</v>
      </c>
      <c r="H35" s="23" t="n">
        <f aca="false">IF(G35="","",$F$2+G35/24)</f>
        <v>46320.5833333333</v>
      </c>
      <c r="I35" s="22" t="n">
        <v>8</v>
      </c>
      <c r="J35" s="23" t="n">
        <f aca="false">IF(OR(G35="",I35=""),"",$F$2+(G35+I35)/24)</f>
        <v>46320.9166666667</v>
      </c>
      <c r="K35" s="20" t="n">
        <v>2</v>
      </c>
      <c r="L35" s="20" t="s">
        <v>40</v>
      </c>
      <c r="M35" s="20" t="s">
        <v>40</v>
      </c>
      <c r="N35" s="20"/>
      <c r="O35" s="21"/>
      <c r="P35" s="21"/>
      <c r="Q35" s="20"/>
      <c r="R35" s="20"/>
      <c r="S35" s="20"/>
    </row>
    <row r="36" customFormat="false" ht="15" hidden="false" customHeight="false" outlineLevel="0" collapsed="false">
      <c r="A36" s="20" t="s">
        <v>33</v>
      </c>
      <c r="B36" s="20" t="s">
        <v>81</v>
      </c>
      <c r="C36" s="21" t="s">
        <v>114</v>
      </c>
      <c r="D36" s="21" t="s">
        <v>115</v>
      </c>
      <c r="E36" s="21" t="s">
        <v>116</v>
      </c>
      <c r="F36" s="20" t="s">
        <v>80</v>
      </c>
      <c r="G36" s="22" t="n">
        <v>117</v>
      </c>
      <c r="H36" s="23" t="n">
        <f aca="false">IF(G36="","",$F$2+G36/24)</f>
        <v>46320.9166666667</v>
      </c>
      <c r="I36" s="22" t="n">
        <v>8</v>
      </c>
      <c r="J36" s="23" t="n">
        <f aca="false">IF(OR(G36="",I36=""),"",$F$2+(G36+I36)/24)</f>
        <v>46321.25</v>
      </c>
      <c r="K36" s="20" t="n">
        <v>2</v>
      </c>
      <c r="L36" s="20" t="s">
        <v>40</v>
      </c>
      <c r="M36" s="20" t="s">
        <v>40</v>
      </c>
      <c r="N36" s="20" t="s">
        <v>41</v>
      </c>
      <c r="O36" s="21"/>
      <c r="P36" s="21"/>
      <c r="Q36" s="20" t="s">
        <v>40</v>
      </c>
      <c r="R36" s="20" t="s">
        <v>40</v>
      </c>
      <c r="S36" s="20" t="s">
        <v>109</v>
      </c>
    </row>
    <row r="37" customFormat="false" ht="23.85" hidden="false" customHeight="false" outlineLevel="0" collapsed="false">
      <c r="A37" s="24" t="s">
        <v>33</v>
      </c>
      <c r="B37" s="24" t="s">
        <v>117</v>
      </c>
      <c r="C37" s="25" t="s">
        <v>118</v>
      </c>
      <c r="D37" s="25" t="s">
        <v>119</v>
      </c>
      <c r="E37" s="25" t="s">
        <v>120</v>
      </c>
      <c r="F37" s="24" t="s">
        <v>38</v>
      </c>
      <c r="G37" s="26" t="n">
        <v>18</v>
      </c>
      <c r="H37" s="27" t="n">
        <f aca="false">IF(G37="","",$F$2+G37/24)</f>
        <v>46316.7916666667</v>
      </c>
      <c r="I37" s="26" t="n">
        <v>3</v>
      </c>
      <c r="J37" s="27" t="n">
        <f aca="false">IF(OR(G37="",I37=""),"",$F$2+(G37+I37)/24)</f>
        <v>46316.9166666667</v>
      </c>
      <c r="K37" s="24" t="n">
        <v>1</v>
      </c>
      <c r="L37" s="24" t="s">
        <v>40</v>
      </c>
      <c r="M37" s="24" t="s">
        <v>40</v>
      </c>
      <c r="N37" s="24"/>
      <c r="O37" s="25"/>
      <c r="P37" s="25"/>
      <c r="Q37" s="24"/>
      <c r="R37" s="24"/>
      <c r="S37" s="24"/>
    </row>
    <row r="38" customFormat="false" ht="23.85" hidden="false" customHeight="false" outlineLevel="0" collapsed="false">
      <c r="A38" s="20" t="s">
        <v>33</v>
      </c>
      <c r="B38" s="20" t="s">
        <v>117</v>
      </c>
      <c r="C38" s="21" t="s">
        <v>121</v>
      </c>
      <c r="D38" s="21" t="s">
        <v>122</v>
      </c>
      <c r="E38" s="21" t="s">
        <v>123</v>
      </c>
      <c r="F38" s="20" t="s">
        <v>38</v>
      </c>
      <c r="G38" s="22" t="n">
        <v>21</v>
      </c>
      <c r="H38" s="23" t="n">
        <f aca="false">IF(G38="","",$F$2+G38/24)</f>
        <v>46316.9166666667</v>
      </c>
      <c r="I38" s="22" t="n">
        <v>8</v>
      </c>
      <c r="J38" s="23" t="n">
        <f aca="false">IF(OR(G38="",I38=""),"",$F$2+(G38+I38)/24)</f>
        <v>46317.25</v>
      </c>
      <c r="K38" s="20" t="n">
        <v>1</v>
      </c>
      <c r="L38" s="20" t="s">
        <v>39</v>
      </c>
      <c r="M38" s="20" t="s">
        <v>40</v>
      </c>
      <c r="N38" s="20" t="s">
        <v>41</v>
      </c>
      <c r="O38" s="21"/>
      <c r="P38" s="21"/>
      <c r="Q38" s="20" t="s">
        <v>40</v>
      </c>
      <c r="R38" s="20" t="s">
        <v>40</v>
      </c>
      <c r="S38" s="20" t="s">
        <v>42</v>
      </c>
    </row>
    <row r="39" customFormat="false" ht="35.05" hidden="false" customHeight="false" outlineLevel="0" collapsed="false">
      <c r="A39" s="20" t="s">
        <v>33</v>
      </c>
      <c r="B39" s="20" t="s">
        <v>117</v>
      </c>
      <c r="C39" s="21" t="s">
        <v>124</v>
      </c>
      <c r="D39" s="21" t="s">
        <v>125</v>
      </c>
      <c r="E39" s="21" t="s">
        <v>126</v>
      </c>
      <c r="F39" s="20" t="s">
        <v>38</v>
      </c>
      <c r="G39" s="22" t="n">
        <v>29</v>
      </c>
      <c r="H39" s="23" t="n">
        <f aca="false">IF(G39="","",$F$2+G39/24)</f>
        <v>46317.25</v>
      </c>
      <c r="I39" s="22" t="n">
        <v>8</v>
      </c>
      <c r="J39" s="23" t="n">
        <f aca="false">IF(OR(G39="",I39=""),"",$F$2+(G39+I39)/24)</f>
        <v>46317.5833333333</v>
      </c>
      <c r="K39" s="20" t="n">
        <v>3</v>
      </c>
      <c r="L39" s="20" t="s">
        <v>40</v>
      </c>
      <c r="M39" s="20" t="s">
        <v>40</v>
      </c>
      <c r="N39" s="20" t="s">
        <v>55</v>
      </c>
      <c r="O39" s="21"/>
      <c r="P39" s="21"/>
      <c r="Q39" s="20" t="s">
        <v>40</v>
      </c>
      <c r="R39" s="20" t="s">
        <v>40</v>
      </c>
      <c r="S39" s="20" t="s">
        <v>56</v>
      </c>
    </row>
    <row r="40" customFormat="false" ht="23.85" hidden="false" customHeight="false" outlineLevel="0" collapsed="false">
      <c r="A40" s="20" t="s">
        <v>33</v>
      </c>
      <c r="B40" s="20" t="s">
        <v>117</v>
      </c>
      <c r="C40" s="21" t="s">
        <v>118</v>
      </c>
      <c r="D40" s="21" t="s">
        <v>127</v>
      </c>
      <c r="E40" s="21" t="s">
        <v>128</v>
      </c>
      <c r="F40" s="20" t="s">
        <v>38</v>
      </c>
      <c r="G40" s="22" t="n">
        <v>37</v>
      </c>
      <c r="H40" s="23" t="n">
        <f aca="false">IF(G40="","",$F$2+G40/24)</f>
        <v>46317.5833333333</v>
      </c>
      <c r="I40" s="22" t="n">
        <v>8</v>
      </c>
      <c r="J40" s="23" t="n">
        <f aca="false">IF(OR(G40="",I40=""),"",$F$2+(G40+I40)/24)</f>
        <v>46317.9166666667</v>
      </c>
      <c r="K40" s="20" t="n">
        <v>3</v>
      </c>
      <c r="L40" s="20" t="s">
        <v>40</v>
      </c>
      <c r="M40" s="20" t="s">
        <v>40</v>
      </c>
      <c r="N40" s="20" t="s">
        <v>55</v>
      </c>
      <c r="O40" s="21"/>
      <c r="P40" s="21"/>
      <c r="Q40" s="20" t="s">
        <v>40</v>
      </c>
      <c r="R40" s="20" t="s">
        <v>40</v>
      </c>
      <c r="S40" s="20" t="s">
        <v>56</v>
      </c>
    </row>
    <row r="41" customFormat="false" ht="15" hidden="false" customHeight="false" outlineLevel="0" collapsed="false">
      <c r="A41" s="20" t="s">
        <v>33</v>
      </c>
      <c r="B41" s="20" t="s">
        <v>117</v>
      </c>
      <c r="C41" s="21" t="s">
        <v>129</v>
      </c>
      <c r="D41" s="21" t="s">
        <v>130</v>
      </c>
      <c r="E41" s="21" t="s">
        <v>131</v>
      </c>
      <c r="F41" s="20" t="s">
        <v>38</v>
      </c>
      <c r="G41" s="22" t="n">
        <v>45</v>
      </c>
      <c r="H41" s="23" t="n">
        <f aca="false">IF(G41="","",$F$2+G41/24)</f>
        <v>46317.9166666667</v>
      </c>
      <c r="I41" s="22" t="n">
        <v>2</v>
      </c>
      <c r="J41" s="23" t="n">
        <f aca="false">IF(OR(G41="",I41=""),"",$F$2+(G41+I41)/24)</f>
        <v>46318</v>
      </c>
      <c r="K41" s="20" t="n">
        <v>2</v>
      </c>
      <c r="L41" s="20" t="s">
        <v>40</v>
      </c>
      <c r="M41" s="20" t="s">
        <v>40</v>
      </c>
      <c r="N41" s="20"/>
      <c r="O41" s="21"/>
      <c r="P41" s="21"/>
      <c r="Q41" s="20"/>
      <c r="R41" s="20"/>
      <c r="S41" s="20"/>
    </row>
    <row r="42" customFormat="false" ht="15" hidden="false" customHeight="false" outlineLevel="0" collapsed="false">
      <c r="A42" s="20" t="s">
        <v>33</v>
      </c>
      <c r="B42" s="20" t="s">
        <v>117</v>
      </c>
      <c r="C42" s="21" t="s">
        <v>132</v>
      </c>
      <c r="D42" s="21" t="s">
        <v>133</v>
      </c>
      <c r="E42" s="21"/>
      <c r="F42" s="20" t="s">
        <v>38</v>
      </c>
      <c r="G42" s="22" t="n">
        <v>47</v>
      </c>
      <c r="H42" s="23" t="n">
        <f aca="false">IF(G42="","",$F$2+G42/24)</f>
        <v>46318</v>
      </c>
      <c r="I42" s="22" t="n">
        <v>2</v>
      </c>
      <c r="J42" s="23" t="n">
        <f aca="false">IF(OR(G42="",I42=""),"",$F$2+(G42+I42)/24)</f>
        <v>46318.0833333333</v>
      </c>
      <c r="K42" s="20" t="n">
        <v>2</v>
      </c>
      <c r="L42" s="20" t="s">
        <v>40</v>
      </c>
      <c r="M42" s="20" t="s">
        <v>40</v>
      </c>
      <c r="N42" s="20" t="s">
        <v>55</v>
      </c>
      <c r="O42" s="21"/>
      <c r="P42" s="21"/>
      <c r="Q42" s="20" t="s">
        <v>40</v>
      </c>
      <c r="R42" s="20" t="s">
        <v>40</v>
      </c>
      <c r="S42" s="20" t="s">
        <v>56</v>
      </c>
    </row>
    <row r="43" customFormat="false" ht="23.85" hidden="false" customHeight="false" outlineLevel="0" collapsed="false">
      <c r="A43" s="20" t="s">
        <v>33</v>
      </c>
      <c r="B43" s="20" t="s">
        <v>117</v>
      </c>
      <c r="C43" s="21" t="s">
        <v>134</v>
      </c>
      <c r="D43" s="21" t="s">
        <v>135</v>
      </c>
      <c r="E43" s="21"/>
      <c r="F43" s="20" t="s">
        <v>38</v>
      </c>
      <c r="G43" s="22" t="n">
        <v>49</v>
      </c>
      <c r="H43" s="23" t="n">
        <f aca="false">IF(G43="","",$F$2+G43/24)</f>
        <v>46318.0833333333</v>
      </c>
      <c r="I43" s="22" t="n">
        <v>4</v>
      </c>
      <c r="J43" s="23" t="n">
        <f aca="false">IF(OR(G43="",I43=""),"",$F$2+(G43+I43)/24)</f>
        <v>46318.25</v>
      </c>
      <c r="K43" s="20" t="n">
        <v>2</v>
      </c>
      <c r="L43" s="20" t="s">
        <v>40</v>
      </c>
      <c r="M43" s="20" t="s">
        <v>40</v>
      </c>
      <c r="N43" s="20"/>
      <c r="O43" s="21"/>
      <c r="P43" s="21"/>
      <c r="Q43" s="20"/>
      <c r="R43" s="20"/>
      <c r="S43" s="20"/>
    </row>
    <row r="44" customFormat="false" ht="23.85" hidden="false" customHeight="false" outlineLevel="0" collapsed="false">
      <c r="A44" s="20" t="s">
        <v>33</v>
      </c>
      <c r="B44" s="20" t="s">
        <v>117</v>
      </c>
      <c r="C44" s="21"/>
      <c r="D44" s="21" t="s">
        <v>136</v>
      </c>
      <c r="E44" s="21" t="s">
        <v>137</v>
      </c>
      <c r="F44" s="20" t="s">
        <v>38</v>
      </c>
      <c r="G44" s="22" t="n">
        <v>77</v>
      </c>
      <c r="H44" s="23" t="n">
        <f aca="false">IF(G44="","",$F$2+G44/24)</f>
        <v>46319.25</v>
      </c>
      <c r="I44" s="22" t="n">
        <v>8</v>
      </c>
      <c r="J44" s="23" t="n">
        <f aca="false">IF(OR(G44="",I44=""),"",$F$2+(G44+I44)/24)</f>
        <v>46319.5833333333</v>
      </c>
      <c r="K44" s="20" t="n">
        <v>2</v>
      </c>
      <c r="L44" s="20" t="s">
        <v>40</v>
      </c>
      <c r="M44" s="20" t="s">
        <v>40</v>
      </c>
      <c r="N44" s="20"/>
      <c r="O44" s="21"/>
      <c r="P44" s="21"/>
      <c r="Q44" s="20"/>
      <c r="R44" s="20"/>
      <c r="S44" s="20"/>
    </row>
    <row r="45" customFormat="false" ht="23.85" hidden="false" customHeight="false" outlineLevel="0" collapsed="false">
      <c r="A45" s="24" t="s">
        <v>33</v>
      </c>
      <c r="B45" s="24" t="s">
        <v>138</v>
      </c>
      <c r="C45" s="25" t="s">
        <v>139</v>
      </c>
      <c r="D45" s="25" t="s">
        <v>140</v>
      </c>
      <c r="E45" s="25" t="s">
        <v>141</v>
      </c>
      <c r="F45" s="24" t="s">
        <v>38</v>
      </c>
      <c r="G45" s="26" t="n">
        <v>33</v>
      </c>
      <c r="H45" s="27" t="n">
        <f aca="false">IF(G45="","",$F$2+G45/24)</f>
        <v>46317.4166666667</v>
      </c>
      <c r="I45" s="26" t="n">
        <v>1</v>
      </c>
      <c r="J45" s="27" t="n">
        <f aca="false">IF(OR(G45="",I45=""),"",$F$2+(G45+I45)/24)</f>
        <v>46317.4583333333</v>
      </c>
      <c r="K45" s="24" t="n">
        <v>1</v>
      </c>
      <c r="L45" s="24" t="s">
        <v>40</v>
      </c>
      <c r="M45" s="24" t="s">
        <v>40</v>
      </c>
      <c r="N45" s="24" t="s">
        <v>55</v>
      </c>
      <c r="O45" s="25"/>
      <c r="P45" s="25"/>
      <c r="Q45" s="24" t="s">
        <v>40</v>
      </c>
      <c r="R45" s="24" t="s">
        <v>40</v>
      </c>
      <c r="S45" s="24" t="s">
        <v>56</v>
      </c>
    </row>
    <row r="46" customFormat="false" ht="23.85" hidden="false" customHeight="false" outlineLevel="0" collapsed="false">
      <c r="A46" s="20" t="s">
        <v>33</v>
      </c>
      <c r="B46" s="20" t="s">
        <v>138</v>
      </c>
      <c r="C46" s="21"/>
      <c r="D46" s="21" t="s">
        <v>142</v>
      </c>
      <c r="E46" s="21"/>
      <c r="F46" s="20" t="s">
        <v>38</v>
      </c>
      <c r="G46" s="22" t="n">
        <v>34</v>
      </c>
      <c r="H46" s="23" t="n">
        <f aca="false">IF(G46="","",$F$2+G46/24)</f>
        <v>46317.4583333333</v>
      </c>
      <c r="I46" s="22" t="n">
        <v>3</v>
      </c>
      <c r="J46" s="23" t="n">
        <f aca="false">IF(OR(G46="",I46=""),"",$F$2+(G46+I46)/24)</f>
        <v>46317.5833333333</v>
      </c>
      <c r="K46" s="20" t="n">
        <v>1</v>
      </c>
      <c r="L46" s="20" t="s">
        <v>40</v>
      </c>
      <c r="M46" s="20" t="s">
        <v>40</v>
      </c>
      <c r="N46" s="20"/>
      <c r="O46" s="21"/>
      <c r="P46" s="21"/>
      <c r="Q46" s="20"/>
      <c r="R46" s="20"/>
      <c r="S46" s="20"/>
    </row>
    <row r="47" customFormat="false" ht="15" hidden="false" customHeight="false" outlineLevel="0" collapsed="false">
      <c r="A47" s="20" t="s">
        <v>33</v>
      </c>
      <c r="B47" s="20" t="s">
        <v>138</v>
      </c>
      <c r="C47" s="21" t="s">
        <v>89</v>
      </c>
      <c r="D47" s="21" t="s">
        <v>143</v>
      </c>
      <c r="E47" s="21" t="s">
        <v>144</v>
      </c>
      <c r="F47" s="20" t="s">
        <v>38</v>
      </c>
      <c r="G47" s="22" t="n">
        <v>45</v>
      </c>
      <c r="H47" s="23" t="n">
        <f aca="false">IF(G47="","",$F$2+G47/24)</f>
        <v>46317.9166666667</v>
      </c>
      <c r="I47" s="22" t="n">
        <v>1</v>
      </c>
      <c r="J47" s="23" t="n">
        <f aca="false">IF(OR(G47="",I47=""),"",$F$2+(G47+I47)/24)</f>
        <v>46317.9583333333</v>
      </c>
      <c r="K47" s="20" t="n">
        <v>2</v>
      </c>
      <c r="L47" s="20" t="s">
        <v>40</v>
      </c>
      <c r="M47" s="20" t="s">
        <v>40</v>
      </c>
      <c r="N47" s="20"/>
      <c r="O47" s="21"/>
      <c r="P47" s="21"/>
      <c r="Q47" s="20"/>
      <c r="R47" s="20"/>
      <c r="S47" s="20"/>
    </row>
    <row r="48" customFormat="false" ht="23.85" hidden="false" customHeight="false" outlineLevel="0" collapsed="false">
      <c r="A48" s="20" t="s">
        <v>33</v>
      </c>
      <c r="B48" s="20" t="s">
        <v>138</v>
      </c>
      <c r="C48" s="21" t="s">
        <v>52</v>
      </c>
      <c r="D48" s="21" t="s">
        <v>145</v>
      </c>
      <c r="E48" s="21"/>
      <c r="F48" s="20" t="s">
        <v>38</v>
      </c>
      <c r="G48" s="22" t="n">
        <v>48</v>
      </c>
      <c r="H48" s="23" t="n">
        <f aca="false">IF(G48="","",$F$2+G48/24)</f>
        <v>46318.0416666667</v>
      </c>
      <c r="I48" s="22" t="n">
        <v>3</v>
      </c>
      <c r="J48" s="23" t="n">
        <f aca="false">IF(OR(G48="",I48=""),"",$F$2+(G48+I48)/24)</f>
        <v>46318.1666666667</v>
      </c>
      <c r="K48" s="20" t="n">
        <v>2</v>
      </c>
      <c r="L48" s="20" t="s">
        <v>40</v>
      </c>
      <c r="M48" s="20" t="s">
        <v>40</v>
      </c>
      <c r="N48" s="20" t="s">
        <v>55</v>
      </c>
      <c r="O48" s="21"/>
      <c r="P48" s="21"/>
      <c r="Q48" s="20" t="s">
        <v>40</v>
      </c>
      <c r="R48" s="20" t="s">
        <v>40</v>
      </c>
      <c r="S48" s="20" t="s">
        <v>56</v>
      </c>
    </row>
    <row r="49" customFormat="false" ht="15" hidden="false" customHeight="false" outlineLevel="0" collapsed="false">
      <c r="A49" s="20" t="s">
        <v>33</v>
      </c>
      <c r="B49" s="20" t="s">
        <v>138</v>
      </c>
      <c r="C49" s="21" t="s">
        <v>95</v>
      </c>
      <c r="D49" s="21" t="s">
        <v>146</v>
      </c>
      <c r="E49" s="21"/>
      <c r="F49" s="20" t="s">
        <v>38</v>
      </c>
      <c r="G49" s="22" t="n">
        <v>51</v>
      </c>
      <c r="H49" s="23" t="n">
        <f aca="false">IF(G49="","",$F$2+G49/24)</f>
        <v>46318.1666666667</v>
      </c>
      <c r="I49" s="22" t="n">
        <v>2</v>
      </c>
      <c r="J49" s="23" t="n">
        <f aca="false">IF(OR(G49="",I49=""),"",$F$2+(G49+I49)/24)</f>
        <v>46318.25</v>
      </c>
      <c r="K49" s="20" t="n">
        <v>2</v>
      </c>
      <c r="L49" s="20" t="s">
        <v>40</v>
      </c>
      <c r="M49" s="20" t="s">
        <v>40</v>
      </c>
      <c r="N49" s="20" t="s">
        <v>55</v>
      </c>
      <c r="O49" s="21"/>
      <c r="P49" s="21"/>
      <c r="Q49" s="20" t="s">
        <v>40</v>
      </c>
      <c r="R49" s="20" t="s">
        <v>40</v>
      </c>
      <c r="S49" s="20" t="s">
        <v>56</v>
      </c>
    </row>
    <row r="50" customFormat="false" ht="23.85" hidden="false" customHeight="false" outlineLevel="0" collapsed="false">
      <c r="A50" s="20" t="s">
        <v>33</v>
      </c>
      <c r="B50" s="20" t="s">
        <v>138</v>
      </c>
      <c r="C50" s="21" t="s">
        <v>97</v>
      </c>
      <c r="D50" s="21" t="s">
        <v>98</v>
      </c>
      <c r="E50" s="21" t="s">
        <v>147</v>
      </c>
      <c r="F50" s="20" t="s">
        <v>38</v>
      </c>
      <c r="G50" s="22" t="n">
        <v>53</v>
      </c>
      <c r="H50" s="23" t="n">
        <f aca="false">IF(G50="","",$F$2+G50/24)</f>
        <v>46318.25</v>
      </c>
      <c r="I50" s="22" t="n">
        <v>1</v>
      </c>
      <c r="J50" s="23" t="n">
        <f aca="false">IF(OR(G50="",I50=""),"",$F$2+(G50+I50)/24)</f>
        <v>46318.2916666667</v>
      </c>
      <c r="K50" s="20" t="n">
        <v>2</v>
      </c>
      <c r="L50" s="20" t="s">
        <v>40</v>
      </c>
      <c r="M50" s="20" t="s">
        <v>40</v>
      </c>
      <c r="N50" s="20" t="s">
        <v>55</v>
      </c>
      <c r="O50" s="21"/>
      <c r="P50" s="21"/>
      <c r="Q50" s="20" t="s">
        <v>40</v>
      </c>
      <c r="R50" s="20" t="s">
        <v>40</v>
      </c>
      <c r="S50" s="20" t="s">
        <v>56</v>
      </c>
    </row>
    <row r="51" customFormat="false" ht="23.85" hidden="false" customHeight="false" outlineLevel="0" collapsed="false">
      <c r="A51" s="20" t="s">
        <v>33</v>
      </c>
      <c r="B51" s="20" t="s">
        <v>138</v>
      </c>
      <c r="C51" s="21" t="s">
        <v>100</v>
      </c>
      <c r="D51" s="21" t="s">
        <v>101</v>
      </c>
      <c r="E51" s="21"/>
      <c r="F51" s="20" t="s">
        <v>38</v>
      </c>
      <c r="G51" s="22" t="n">
        <v>54</v>
      </c>
      <c r="H51" s="23" t="n">
        <f aca="false">IF(G51="","",$F$2+G51/24)</f>
        <v>46318.2916666667</v>
      </c>
      <c r="I51" s="22" t="n">
        <v>4</v>
      </c>
      <c r="J51" s="23" t="n">
        <f aca="false">IF(OR(G51="",I51=""),"",$F$2+(G51+I51)/24)</f>
        <v>46318.4583333333</v>
      </c>
      <c r="K51" s="20" t="n">
        <v>2</v>
      </c>
      <c r="L51" s="20" t="s">
        <v>40</v>
      </c>
      <c r="M51" s="20" t="s">
        <v>40</v>
      </c>
      <c r="N51" s="20" t="s">
        <v>55</v>
      </c>
      <c r="O51" s="21"/>
      <c r="P51" s="21"/>
      <c r="Q51" s="20" t="s">
        <v>40</v>
      </c>
      <c r="R51" s="20" t="s">
        <v>40</v>
      </c>
      <c r="S51" s="20" t="s">
        <v>56</v>
      </c>
    </row>
    <row r="52" customFormat="false" ht="15" hidden="false" customHeight="false" outlineLevel="0" collapsed="false">
      <c r="A52" s="20" t="s">
        <v>33</v>
      </c>
      <c r="B52" s="20" t="s">
        <v>138</v>
      </c>
      <c r="C52" s="21" t="s">
        <v>102</v>
      </c>
      <c r="D52" s="21" t="s">
        <v>103</v>
      </c>
      <c r="E52" s="21"/>
      <c r="F52" s="20" t="s">
        <v>38</v>
      </c>
      <c r="G52" s="22" t="n">
        <v>58</v>
      </c>
      <c r="H52" s="23" t="n">
        <f aca="false">IF(G52="","",$F$2+G52/24)</f>
        <v>46318.4583333333</v>
      </c>
      <c r="I52" s="22" t="n">
        <v>3</v>
      </c>
      <c r="J52" s="23" t="n">
        <f aca="false">IF(OR(G52="",I52=""),"",$F$2+(G52+I52)/24)</f>
        <v>46318.5833333333</v>
      </c>
      <c r="K52" s="20" t="n">
        <v>2</v>
      </c>
      <c r="L52" s="20" t="s">
        <v>40</v>
      </c>
      <c r="M52" s="20" t="s">
        <v>40</v>
      </c>
      <c r="N52" s="20" t="s">
        <v>55</v>
      </c>
      <c r="O52" s="21"/>
      <c r="P52" s="21"/>
      <c r="Q52" s="20" t="s">
        <v>40</v>
      </c>
      <c r="R52" s="20" t="s">
        <v>40</v>
      </c>
      <c r="S52" s="20" t="s">
        <v>56</v>
      </c>
    </row>
    <row r="53" customFormat="false" ht="23.85" hidden="false" customHeight="false" outlineLevel="0" collapsed="false">
      <c r="A53" s="20" t="s">
        <v>33</v>
      </c>
      <c r="B53" s="20" t="s">
        <v>138</v>
      </c>
      <c r="C53" s="21" t="s">
        <v>148</v>
      </c>
      <c r="D53" s="21" t="s">
        <v>149</v>
      </c>
      <c r="E53" s="21" t="s">
        <v>150</v>
      </c>
      <c r="F53" s="20" t="s">
        <v>38</v>
      </c>
      <c r="G53" s="22" t="n">
        <v>61</v>
      </c>
      <c r="H53" s="23" t="n">
        <f aca="false">IF(G53="","",$F$2+G53/24)</f>
        <v>46318.5833333333</v>
      </c>
      <c r="I53" s="22" t="n">
        <v>8</v>
      </c>
      <c r="J53" s="23" t="n">
        <f aca="false">IF(OR(G53="",I53=""),"",$F$2+(G53+I53)/24)</f>
        <v>46318.9166666667</v>
      </c>
      <c r="K53" s="20" t="n">
        <v>2</v>
      </c>
      <c r="L53" s="20" t="s">
        <v>40</v>
      </c>
      <c r="M53" s="20" t="s">
        <v>40</v>
      </c>
      <c r="N53" s="20" t="s">
        <v>55</v>
      </c>
      <c r="O53" s="21"/>
      <c r="P53" s="21"/>
      <c r="Q53" s="20" t="s">
        <v>40</v>
      </c>
      <c r="R53" s="20" t="s">
        <v>40</v>
      </c>
      <c r="S53" s="20" t="s">
        <v>56</v>
      </c>
    </row>
    <row r="54" customFormat="false" ht="15" hidden="false" customHeight="false" outlineLevel="0" collapsed="false">
      <c r="A54" s="24" t="s">
        <v>33</v>
      </c>
      <c r="B54" s="24" t="s">
        <v>151</v>
      </c>
      <c r="C54" s="25" t="s">
        <v>152</v>
      </c>
      <c r="D54" s="25" t="s">
        <v>153</v>
      </c>
      <c r="E54" s="25" t="s">
        <v>154</v>
      </c>
      <c r="F54" s="24" t="s">
        <v>38</v>
      </c>
      <c r="G54" s="26" t="n">
        <v>69</v>
      </c>
      <c r="H54" s="27" t="n">
        <f aca="false">IF(G54="","",$F$2+G54/24)</f>
        <v>46318.9166666667</v>
      </c>
      <c r="I54" s="26" t="n">
        <v>8</v>
      </c>
      <c r="J54" s="27" t="n">
        <f aca="false">IF(OR(G54="",I54=""),"",$F$2+(G54+I54)/24)</f>
        <v>46319.25</v>
      </c>
      <c r="K54" s="24" t="n">
        <v>3</v>
      </c>
      <c r="L54" s="24" t="s">
        <v>40</v>
      </c>
      <c r="M54" s="24" t="s">
        <v>40</v>
      </c>
      <c r="N54" s="24" t="s">
        <v>55</v>
      </c>
      <c r="O54" s="25"/>
      <c r="P54" s="25"/>
      <c r="Q54" s="24" t="s">
        <v>40</v>
      </c>
      <c r="R54" s="24" t="s">
        <v>40</v>
      </c>
      <c r="S54" s="24" t="s">
        <v>56</v>
      </c>
    </row>
    <row r="55" customFormat="false" ht="23.85" hidden="false" customHeight="false" outlineLevel="0" collapsed="false">
      <c r="A55" s="24" t="s">
        <v>33</v>
      </c>
      <c r="B55" s="24" t="s">
        <v>138</v>
      </c>
      <c r="C55" s="25" t="s">
        <v>89</v>
      </c>
      <c r="D55" s="25" t="s">
        <v>155</v>
      </c>
      <c r="E55" s="25" t="s">
        <v>156</v>
      </c>
      <c r="F55" s="24" t="s">
        <v>38</v>
      </c>
      <c r="G55" s="26" t="n">
        <v>77</v>
      </c>
      <c r="H55" s="27" t="n">
        <f aca="false">IF(G55="","",$F$2+G55/24)</f>
        <v>46319.25</v>
      </c>
      <c r="I55" s="26" t="n">
        <v>8</v>
      </c>
      <c r="J55" s="27" t="n">
        <f aca="false">IF(OR(G55="",I55=""),"",$F$2+(G55+I55)/24)</f>
        <v>46319.5833333333</v>
      </c>
      <c r="K55" s="24" t="n">
        <v>2</v>
      </c>
      <c r="L55" s="24" t="s">
        <v>40</v>
      </c>
      <c r="M55" s="24" t="s">
        <v>40</v>
      </c>
      <c r="N55" s="24"/>
      <c r="O55" s="25"/>
      <c r="P55" s="25"/>
      <c r="Q55" s="24"/>
      <c r="R55" s="24"/>
      <c r="S55" s="24"/>
    </row>
    <row r="56" customFormat="false" ht="15" hidden="false" customHeight="false" outlineLevel="0" collapsed="false">
      <c r="A56" s="24" t="s">
        <v>157</v>
      </c>
      <c r="B56" s="24" t="s">
        <v>158</v>
      </c>
      <c r="C56" s="25"/>
      <c r="D56" s="25" t="s">
        <v>159</v>
      </c>
      <c r="E56" s="25"/>
      <c r="F56" s="24" t="s">
        <v>38</v>
      </c>
      <c r="G56" s="26" t="n">
        <v>0</v>
      </c>
      <c r="H56" s="27" t="n">
        <f aca="false">IF(G56="","",$F$2+G56/24)</f>
        <v>46316.0416666667</v>
      </c>
      <c r="I56" s="26" t="n">
        <v>6</v>
      </c>
      <c r="J56" s="27" t="n">
        <f aca="false">IF(OR(G56="",I56=""),"",$F$2+(G56+I56)/24)</f>
        <v>46316.2916666667</v>
      </c>
      <c r="K56" s="24" t="n">
        <v>1</v>
      </c>
      <c r="L56" s="24" t="s">
        <v>40</v>
      </c>
      <c r="M56" s="24" t="s">
        <v>40</v>
      </c>
      <c r="N56" s="24"/>
      <c r="O56" s="25"/>
      <c r="P56" s="25"/>
      <c r="Q56" s="24"/>
      <c r="R56" s="24"/>
      <c r="S56" s="24"/>
    </row>
    <row r="57" customFormat="false" ht="15" hidden="false" customHeight="false" outlineLevel="0" collapsed="false">
      <c r="A57" s="20" t="s">
        <v>157</v>
      </c>
      <c r="B57" s="20" t="s">
        <v>158</v>
      </c>
      <c r="C57" s="21" t="s">
        <v>160</v>
      </c>
      <c r="D57" s="21" t="s">
        <v>161</v>
      </c>
      <c r="E57" s="21"/>
      <c r="F57" s="20" t="s">
        <v>38</v>
      </c>
      <c r="G57" s="22" t="n">
        <v>6</v>
      </c>
      <c r="H57" s="23" t="n">
        <f aca="false">IF(G57="","",$F$2+G57/24)</f>
        <v>46316.2916666667</v>
      </c>
      <c r="I57" s="22" t="n">
        <v>3</v>
      </c>
      <c r="J57" s="23" t="n">
        <f aca="false">IF(OR(G57="",I57=""),"",$F$2+(G57+I57)/24)</f>
        <v>46316.4166666667</v>
      </c>
      <c r="K57" s="20" t="n">
        <v>1</v>
      </c>
      <c r="L57" s="20" t="s">
        <v>40</v>
      </c>
      <c r="M57" s="20" t="s">
        <v>40</v>
      </c>
      <c r="N57" s="20" t="s">
        <v>41</v>
      </c>
      <c r="O57" s="21"/>
      <c r="P57" s="21"/>
      <c r="Q57" s="20" t="s">
        <v>40</v>
      </c>
      <c r="R57" s="20" t="s">
        <v>40</v>
      </c>
      <c r="S57" s="20" t="s">
        <v>42</v>
      </c>
    </row>
    <row r="58" customFormat="false" ht="15" hidden="false" customHeight="false" outlineLevel="0" collapsed="false">
      <c r="A58" s="20" t="s">
        <v>157</v>
      </c>
      <c r="B58" s="20" t="s">
        <v>158</v>
      </c>
      <c r="C58" s="21" t="s">
        <v>162</v>
      </c>
      <c r="D58" s="21" t="s">
        <v>163</v>
      </c>
      <c r="E58" s="21"/>
      <c r="F58" s="20" t="s">
        <v>38</v>
      </c>
      <c r="G58" s="22" t="n">
        <v>9</v>
      </c>
      <c r="H58" s="23" t="n">
        <f aca="false">IF(G58="","",$F$2+G58/24)</f>
        <v>46316.4166666667</v>
      </c>
      <c r="I58" s="22" t="n">
        <v>3</v>
      </c>
      <c r="J58" s="23" t="n">
        <f aca="false">IF(OR(G58="",I58=""),"",$F$2+(G58+I58)/24)</f>
        <v>46316.5416666667</v>
      </c>
      <c r="K58" s="20" t="n">
        <v>1</v>
      </c>
      <c r="L58" s="20" t="s">
        <v>40</v>
      </c>
      <c r="M58" s="20" t="s">
        <v>40</v>
      </c>
      <c r="N58" s="20" t="s">
        <v>41</v>
      </c>
      <c r="O58" s="21"/>
      <c r="P58" s="21"/>
      <c r="Q58" s="20" t="s">
        <v>40</v>
      </c>
      <c r="R58" s="20" t="s">
        <v>40</v>
      </c>
      <c r="S58" s="20" t="s">
        <v>42</v>
      </c>
    </row>
    <row r="59" customFormat="false" ht="15" hidden="false" customHeight="false" outlineLevel="0" collapsed="false">
      <c r="A59" s="20" t="s">
        <v>157</v>
      </c>
      <c r="B59" s="20" t="s">
        <v>158</v>
      </c>
      <c r="C59" s="21" t="s">
        <v>164</v>
      </c>
      <c r="D59" s="21" t="s">
        <v>165</v>
      </c>
      <c r="E59" s="21"/>
      <c r="F59" s="20" t="s">
        <v>38</v>
      </c>
      <c r="G59" s="22" t="n">
        <v>57</v>
      </c>
      <c r="H59" s="23" t="n">
        <f aca="false">IF(G59="","",$F$2+G59/24)</f>
        <v>46318.4166666667</v>
      </c>
      <c r="I59" s="22" t="n">
        <v>1</v>
      </c>
      <c r="J59" s="23" t="n">
        <f aca="false">IF(OR(G59="",I59=""),"",$F$2+(G59+I59)/24)</f>
        <v>46318.4583333333</v>
      </c>
      <c r="K59" s="20" t="n">
        <v>2</v>
      </c>
      <c r="L59" s="20" t="s">
        <v>40</v>
      </c>
      <c r="M59" s="20" t="s">
        <v>40</v>
      </c>
      <c r="N59" s="20" t="s">
        <v>55</v>
      </c>
      <c r="O59" s="21"/>
      <c r="P59" s="21"/>
      <c r="Q59" s="20" t="s">
        <v>40</v>
      </c>
      <c r="R59" s="20" t="s">
        <v>40</v>
      </c>
      <c r="S59" s="20" t="s">
        <v>56</v>
      </c>
    </row>
    <row r="60" customFormat="false" ht="15" hidden="false" customHeight="false" outlineLevel="0" collapsed="false">
      <c r="A60" s="20" t="s">
        <v>157</v>
      </c>
      <c r="B60" s="20" t="s">
        <v>158</v>
      </c>
      <c r="C60" s="21" t="s">
        <v>43</v>
      </c>
      <c r="D60" s="21" t="s">
        <v>166</v>
      </c>
      <c r="E60" s="21"/>
      <c r="F60" s="20" t="s">
        <v>38</v>
      </c>
      <c r="G60" s="22" t="n">
        <v>58</v>
      </c>
      <c r="H60" s="23" t="n">
        <f aca="false">IF(G60="","",$F$2+G60/24)</f>
        <v>46318.4583333333</v>
      </c>
      <c r="I60" s="22" t="n">
        <v>11</v>
      </c>
      <c r="J60" s="23" t="n">
        <f aca="false">IF(OR(G60="",I60=""),"",$F$2+(G60+I60)/24)</f>
        <v>46318.9166666667</v>
      </c>
      <c r="K60" s="20" t="n">
        <v>1</v>
      </c>
      <c r="L60" s="20" t="s">
        <v>40</v>
      </c>
      <c r="M60" s="20" t="s">
        <v>40</v>
      </c>
      <c r="N60" s="20"/>
      <c r="O60" s="21"/>
      <c r="P60" s="21"/>
      <c r="Q60" s="20"/>
      <c r="R60" s="20"/>
      <c r="S60" s="20"/>
    </row>
    <row r="61" customFormat="false" ht="23.85" hidden="false" customHeight="false" outlineLevel="0" collapsed="false">
      <c r="A61" s="20" t="s">
        <v>157</v>
      </c>
      <c r="B61" s="20" t="s">
        <v>158</v>
      </c>
      <c r="C61" s="21" t="s">
        <v>167</v>
      </c>
      <c r="D61" s="21" t="s">
        <v>168</v>
      </c>
      <c r="E61" s="21" t="s">
        <v>169</v>
      </c>
      <c r="F61" s="20" t="s">
        <v>38</v>
      </c>
      <c r="G61" s="22" t="n">
        <v>77</v>
      </c>
      <c r="H61" s="23" t="n">
        <f aca="false">IF(G61="","",$F$2+G61/24)</f>
        <v>46319.25</v>
      </c>
      <c r="I61" s="22" t="n">
        <v>8</v>
      </c>
      <c r="J61" s="23" t="n">
        <f aca="false">IF(OR(G61="",I61=""),"",$F$2+(G61+I61)/24)</f>
        <v>46319.5833333333</v>
      </c>
      <c r="K61" s="20" t="n">
        <v>2</v>
      </c>
      <c r="L61" s="20" t="s">
        <v>40</v>
      </c>
      <c r="M61" s="20" t="s">
        <v>40</v>
      </c>
      <c r="N61" s="20"/>
      <c r="O61" s="21"/>
      <c r="P61" s="21"/>
      <c r="Q61" s="20"/>
      <c r="R61" s="20"/>
      <c r="S61" s="20"/>
    </row>
    <row r="62" customFormat="false" ht="15" hidden="false" customHeight="false" outlineLevel="0" collapsed="false">
      <c r="A62" s="20" t="s">
        <v>157</v>
      </c>
      <c r="B62" s="20" t="s">
        <v>158</v>
      </c>
      <c r="C62" s="21" t="s">
        <v>170</v>
      </c>
      <c r="D62" s="21" t="s">
        <v>171</v>
      </c>
      <c r="E62" s="21" t="s">
        <v>172</v>
      </c>
      <c r="F62" s="20" t="s">
        <v>38</v>
      </c>
      <c r="G62" s="22" t="n">
        <v>85</v>
      </c>
      <c r="H62" s="23" t="n">
        <f aca="false">IF(G62="","",$F$2+G62/24)</f>
        <v>46319.5833333333</v>
      </c>
      <c r="I62" s="22" t="n">
        <v>8</v>
      </c>
      <c r="J62" s="23" t="n">
        <f aca="false">IF(OR(G62="",I62=""),"",$F$2+(G62+I62)/24)</f>
        <v>46319.9166666667</v>
      </c>
      <c r="K62" s="20" t="n">
        <v>2</v>
      </c>
      <c r="L62" s="20" t="s">
        <v>40</v>
      </c>
      <c r="M62" s="20" t="s">
        <v>40</v>
      </c>
      <c r="N62" s="20" t="s">
        <v>41</v>
      </c>
      <c r="O62" s="21"/>
      <c r="P62" s="21"/>
      <c r="Q62" s="20" t="s">
        <v>40</v>
      </c>
      <c r="R62" s="20" t="s">
        <v>40</v>
      </c>
      <c r="S62" s="20" t="s">
        <v>42</v>
      </c>
    </row>
    <row r="63" customFormat="false" ht="15" hidden="false" customHeight="false" outlineLevel="0" collapsed="false">
      <c r="A63" s="24" t="s">
        <v>157</v>
      </c>
      <c r="B63" s="24" t="s">
        <v>173</v>
      </c>
      <c r="C63" s="25" t="s">
        <v>174</v>
      </c>
      <c r="D63" s="25" t="s">
        <v>175</v>
      </c>
      <c r="E63" s="25"/>
      <c r="F63" s="24" t="s">
        <v>38</v>
      </c>
      <c r="G63" s="26" t="n">
        <v>0</v>
      </c>
      <c r="H63" s="27" t="n">
        <f aca="false">IF(G63="","",$F$2+G63/24)</f>
        <v>46316.0416666667</v>
      </c>
      <c r="I63" s="26" t="n">
        <v>57</v>
      </c>
      <c r="J63" s="27" t="n">
        <f aca="false">IF(OR(G63="",I63=""),"",$F$2+(G63+I63)/24)</f>
        <v>46318.4166666667</v>
      </c>
      <c r="K63" s="24" t="n">
        <v>1</v>
      </c>
      <c r="L63" s="24" t="s">
        <v>40</v>
      </c>
      <c r="M63" s="24" t="s">
        <v>40</v>
      </c>
      <c r="N63" s="24"/>
      <c r="O63" s="25"/>
      <c r="P63" s="25"/>
      <c r="Q63" s="24"/>
      <c r="R63" s="24"/>
      <c r="S63" s="24"/>
    </row>
    <row r="64" customFormat="false" ht="15" hidden="false" customHeight="false" outlineLevel="0" collapsed="false">
      <c r="A64" s="24" t="s">
        <v>157</v>
      </c>
      <c r="B64" s="24" t="s">
        <v>176</v>
      </c>
      <c r="C64" s="25" t="s">
        <v>177</v>
      </c>
      <c r="D64" s="25" t="s">
        <v>178</v>
      </c>
      <c r="E64" s="25"/>
      <c r="F64" s="24" t="s">
        <v>38</v>
      </c>
      <c r="G64" s="26" t="n">
        <v>13</v>
      </c>
      <c r="H64" s="27" t="n">
        <f aca="false">IF(G64="","",$F$2+G64/24)</f>
        <v>46316.5833333333</v>
      </c>
      <c r="I64" s="26" t="n">
        <v>6</v>
      </c>
      <c r="J64" s="27" t="n">
        <f aca="false">IF(OR(G64="",I64=""),"",$F$2+(G64+I64)/24)</f>
        <v>46316.8333333333</v>
      </c>
      <c r="K64" s="24" t="n">
        <v>1</v>
      </c>
      <c r="L64" s="24" t="s">
        <v>40</v>
      </c>
      <c r="M64" s="24" t="s">
        <v>40</v>
      </c>
      <c r="N64" s="24" t="s">
        <v>41</v>
      </c>
      <c r="O64" s="25"/>
      <c r="P64" s="25"/>
      <c r="Q64" s="24" t="s">
        <v>40</v>
      </c>
      <c r="R64" s="24" t="s">
        <v>40</v>
      </c>
      <c r="S64" s="24" t="s">
        <v>42</v>
      </c>
    </row>
    <row r="65" customFormat="false" ht="15" hidden="false" customHeight="false" outlineLevel="0" collapsed="false">
      <c r="A65" s="20" t="s">
        <v>157</v>
      </c>
      <c r="B65" s="20" t="s">
        <v>176</v>
      </c>
      <c r="C65" s="21" t="s">
        <v>179</v>
      </c>
      <c r="D65" s="21" t="s">
        <v>180</v>
      </c>
      <c r="E65" s="21" t="s">
        <v>181</v>
      </c>
      <c r="F65" s="20" t="s">
        <v>38</v>
      </c>
      <c r="G65" s="22" t="n">
        <v>19</v>
      </c>
      <c r="H65" s="23" t="n">
        <f aca="false">IF(G65="","",$F$2+G65/24)</f>
        <v>46316.8333333333</v>
      </c>
      <c r="I65" s="22" t="n">
        <v>3</v>
      </c>
      <c r="J65" s="23" t="n">
        <f aca="false">IF(OR(G65="",I65=""),"",$F$2+(G65+I65)/24)</f>
        <v>46316.9583333333</v>
      </c>
      <c r="K65" s="20" t="n">
        <v>1</v>
      </c>
      <c r="L65" s="20" t="s">
        <v>40</v>
      </c>
      <c r="M65" s="20" t="s">
        <v>40</v>
      </c>
      <c r="N65" s="20" t="s">
        <v>41</v>
      </c>
      <c r="O65" s="21"/>
      <c r="P65" s="21"/>
      <c r="Q65" s="20" t="s">
        <v>40</v>
      </c>
      <c r="R65" s="20" t="s">
        <v>40</v>
      </c>
      <c r="S65" s="20" t="s">
        <v>42</v>
      </c>
    </row>
    <row r="66" customFormat="false" ht="15" hidden="false" customHeight="false" outlineLevel="0" collapsed="false">
      <c r="A66" s="20" t="s">
        <v>157</v>
      </c>
      <c r="B66" s="20" t="s">
        <v>176</v>
      </c>
      <c r="C66" s="21" t="s">
        <v>182</v>
      </c>
      <c r="D66" s="21" t="s">
        <v>183</v>
      </c>
      <c r="E66" s="21" t="s">
        <v>184</v>
      </c>
      <c r="F66" s="20" t="s">
        <v>38</v>
      </c>
      <c r="G66" s="22" t="n">
        <v>93</v>
      </c>
      <c r="H66" s="23" t="n">
        <f aca="false">IF(G66="","",$F$2+G66/24)</f>
        <v>46319.9166666667</v>
      </c>
      <c r="I66" s="22" t="n">
        <v>8</v>
      </c>
      <c r="J66" s="23" t="n">
        <f aca="false">IF(OR(G66="",I66=""),"",$F$2+(G66+I66)/24)</f>
        <v>46320.25</v>
      </c>
      <c r="K66" s="20" t="n">
        <v>2</v>
      </c>
      <c r="L66" s="20" t="s">
        <v>40</v>
      </c>
      <c r="M66" s="20" t="s">
        <v>40</v>
      </c>
      <c r="N66" s="20"/>
      <c r="O66" s="21"/>
      <c r="P66" s="21"/>
      <c r="Q66" s="20"/>
      <c r="R66" s="20"/>
      <c r="S66" s="20"/>
    </row>
    <row r="67" customFormat="false" ht="15" hidden="false" customHeight="false" outlineLevel="0" collapsed="false">
      <c r="A67" s="24" t="s">
        <v>157</v>
      </c>
      <c r="B67" s="24" t="s">
        <v>185</v>
      </c>
      <c r="C67" s="25" t="s">
        <v>177</v>
      </c>
      <c r="D67" s="25" t="s">
        <v>186</v>
      </c>
      <c r="E67" s="25" t="s">
        <v>187</v>
      </c>
      <c r="F67" s="24" t="s">
        <v>38</v>
      </c>
      <c r="G67" s="26" t="n">
        <v>45</v>
      </c>
      <c r="H67" s="27" t="n">
        <f aca="false">IF(G67="","",$F$2+G67/24)</f>
        <v>46317.9166666667</v>
      </c>
      <c r="I67" s="26" t="n">
        <v>10</v>
      </c>
      <c r="J67" s="27" t="n">
        <f aca="false">IF(OR(G67="",I67=""),"",$F$2+(G67+I67)/24)</f>
        <v>46318.3333333333</v>
      </c>
      <c r="K67" s="24" t="n">
        <v>1</v>
      </c>
      <c r="L67" s="24" t="s">
        <v>40</v>
      </c>
      <c r="M67" s="24" t="s">
        <v>40</v>
      </c>
      <c r="N67" s="24" t="s">
        <v>41</v>
      </c>
      <c r="O67" s="25"/>
      <c r="P67" s="25"/>
      <c r="Q67" s="24" t="s">
        <v>40</v>
      </c>
      <c r="R67" s="24" t="s">
        <v>40</v>
      </c>
      <c r="S67" s="24" t="s">
        <v>42</v>
      </c>
    </row>
    <row r="68" customFormat="false" ht="15" hidden="false" customHeight="false" outlineLevel="0" collapsed="false">
      <c r="A68" s="20" t="s">
        <v>157</v>
      </c>
      <c r="B68" s="20" t="s">
        <v>185</v>
      </c>
      <c r="C68" s="21" t="s">
        <v>179</v>
      </c>
      <c r="D68" s="21" t="s">
        <v>188</v>
      </c>
      <c r="E68" s="21" t="s">
        <v>189</v>
      </c>
      <c r="F68" s="20" t="s">
        <v>38</v>
      </c>
      <c r="G68" s="22" t="n">
        <v>55</v>
      </c>
      <c r="H68" s="23" t="n">
        <f aca="false">IF(G68="","",$F$2+G68/24)</f>
        <v>46318.3333333333</v>
      </c>
      <c r="I68" s="22" t="n">
        <v>3</v>
      </c>
      <c r="J68" s="23" t="n">
        <f aca="false">IF(OR(G68="",I68=""),"",$F$2+(G68+I68)/24)</f>
        <v>46318.4583333333</v>
      </c>
      <c r="K68" s="20" t="n">
        <v>1</v>
      </c>
      <c r="L68" s="20" t="s">
        <v>40</v>
      </c>
      <c r="M68" s="20" t="s">
        <v>40</v>
      </c>
      <c r="N68" s="20" t="s">
        <v>41</v>
      </c>
      <c r="O68" s="21"/>
      <c r="P68" s="21"/>
      <c r="Q68" s="20" t="s">
        <v>40</v>
      </c>
      <c r="R68" s="20" t="s">
        <v>40</v>
      </c>
      <c r="S68" s="20" t="s">
        <v>42</v>
      </c>
    </row>
    <row r="69" customFormat="false" ht="15" hidden="false" customHeight="false" outlineLevel="0" collapsed="false">
      <c r="A69" s="24" t="s">
        <v>157</v>
      </c>
      <c r="B69" s="24" t="s">
        <v>190</v>
      </c>
      <c r="C69" s="25" t="s">
        <v>191</v>
      </c>
      <c r="D69" s="25" t="s">
        <v>192</v>
      </c>
      <c r="E69" s="25"/>
      <c r="F69" s="24" t="s">
        <v>38</v>
      </c>
      <c r="G69" s="26" t="n">
        <v>61</v>
      </c>
      <c r="H69" s="27" t="n">
        <f aca="false">IF(G69="","",$F$2+G69/24)</f>
        <v>46318.5833333333</v>
      </c>
      <c r="I69" s="26" t="n">
        <v>3</v>
      </c>
      <c r="J69" s="27" t="n">
        <f aca="false">IF(OR(G69="",I69=""),"",$F$2+(G69+I69)/24)</f>
        <v>46318.7083333333</v>
      </c>
      <c r="K69" s="24" t="n">
        <v>1</v>
      </c>
      <c r="L69" s="24" t="s">
        <v>39</v>
      </c>
      <c r="M69" s="24" t="s">
        <v>40</v>
      </c>
      <c r="N69" s="24" t="s">
        <v>41</v>
      </c>
      <c r="O69" s="25"/>
      <c r="P69" s="25"/>
      <c r="Q69" s="24" t="s">
        <v>40</v>
      </c>
      <c r="R69" s="24" t="s">
        <v>40</v>
      </c>
      <c r="S69" s="24" t="s">
        <v>42</v>
      </c>
    </row>
    <row r="70" customFormat="false" ht="15" hidden="false" customHeight="false" outlineLevel="0" collapsed="false">
      <c r="A70" s="20" t="s">
        <v>157</v>
      </c>
      <c r="B70" s="20" t="s">
        <v>190</v>
      </c>
      <c r="C70" s="21" t="s">
        <v>193</v>
      </c>
      <c r="D70" s="21" t="s">
        <v>194</v>
      </c>
      <c r="E70" s="21" t="s">
        <v>195</v>
      </c>
      <c r="F70" s="20" t="s">
        <v>38</v>
      </c>
      <c r="G70" s="22" t="n">
        <v>81</v>
      </c>
      <c r="H70" s="23" t="n">
        <f aca="false">IF(G70="","",$F$2+G70/24)</f>
        <v>46319.4166666667</v>
      </c>
      <c r="I70" s="22" t="n">
        <v>3</v>
      </c>
      <c r="J70" s="23" t="n">
        <f aca="false">IF(OR(G70="",I70=""),"",$F$2+(G70+I70)/24)</f>
        <v>46319.5416666667</v>
      </c>
      <c r="K70" s="20" t="n">
        <v>1</v>
      </c>
      <c r="L70" s="20" t="s">
        <v>40</v>
      </c>
      <c r="M70" s="20" t="s">
        <v>40</v>
      </c>
      <c r="N70" s="20" t="s">
        <v>41</v>
      </c>
      <c r="O70" s="21"/>
      <c r="P70" s="21"/>
      <c r="Q70" s="20" t="s">
        <v>40</v>
      </c>
      <c r="R70" s="20" t="s">
        <v>40</v>
      </c>
      <c r="S70" s="20" t="s">
        <v>42</v>
      </c>
    </row>
    <row r="71" customFormat="false" ht="15" hidden="false" customHeight="false" outlineLevel="0" collapsed="false">
      <c r="A71" s="24" t="s">
        <v>157</v>
      </c>
      <c r="B71" s="24" t="s">
        <v>196</v>
      </c>
      <c r="C71" s="25" t="s">
        <v>197</v>
      </c>
      <c r="D71" s="25" t="s">
        <v>198</v>
      </c>
      <c r="E71" s="25" t="s">
        <v>199</v>
      </c>
      <c r="F71" s="24" t="s">
        <v>38</v>
      </c>
      <c r="G71" s="26" t="n">
        <v>45</v>
      </c>
      <c r="H71" s="27" t="n">
        <f aca="false">IF(G71="","",$F$2+G71/24)</f>
        <v>46317.9166666667</v>
      </c>
      <c r="I71" s="26" t="n">
        <v>4</v>
      </c>
      <c r="J71" s="27" t="n">
        <f aca="false">IF(OR(G71="",I71=""),"",$F$2+(G71+I71)/24)</f>
        <v>46318.0833333333</v>
      </c>
      <c r="K71" s="24" t="n">
        <v>1</v>
      </c>
      <c r="L71" s="24" t="s">
        <v>40</v>
      </c>
      <c r="M71" s="24" t="s">
        <v>40</v>
      </c>
      <c r="N71" s="24" t="s">
        <v>41</v>
      </c>
      <c r="O71" s="25"/>
      <c r="P71" s="25"/>
      <c r="Q71" s="24" t="s">
        <v>40</v>
      </c>
      <c r="R71" s="24" t="s">
        <v>40</v>
      </c>
      <c r="S71" s="24" t="s">
        <v>42</v>
      </c>
    </row>
    <row r="72" customFormat="false" ht="15" hidden="false" customHeight="false" outlineLevel="0" collapsed="false">
      <c r="A72" s="20" t="s">
        <v>157</v>
      </c>
      <c r="B72" s="20" t="s">
        <v>196</v>
      </c>
      <c r="C72" s="21"/>
      <c r="D72" s="21" t="s">
        <v>200</v>
      </c>
      <c r="E72" s="21" t="s">
        <v>201</v>
      </c>
      <c r="F72" s="20" t="s">
        <v>38</v>
      </c>
      <c r="G72" s="22" t="n">
        <v>53</v>
      </c>
      <c r="H72" s="23" t="n">
        <f aca="false">IF(G72="","",$F$2+G72/24)</f>
        <v>46318.25</v>
      </c>
      <c r="I72" s="22" t="n">
        <v>4</v>
      </c>
      <c r="J72" s="23" t="n">
        <f aca="false">IF(OR(G72="",I72=""),"",$F$2+(G72+I72)/24)</f>
        <v>46318.4166666667</v>
      </c>
      <c r="K72" s="20" t="n">
        <v>2</v>
      </c>
      <c r="L72" s="20" t="s">
        <v>40</v>
      </c>
      <c r="M72" s="20" t="s">
        <v>40</v>
      </c>
      <c r="N72" s="20"/>
      <c r="O72" s="21"/>
      <c r="P72" s="21"/>
      <c r="Q72" s="20"/>
      <c r="R72" s="20"/>
      <c r="S72" s="20"/>
    </row>
    <row r="73" customFormat="false" ht="15" hidden="false" customHeight="false" outlineLevel="0" collapsed="false">
      <c r="A73" s="20" t="s">
        <v>157</v>
      </c>
      <c r="B73" s="20" t="s">
        <v>196</v>
      </c>
      <c r="C73" s="21"/>
      <c r="D73" s="21" t="s">
        <v>202</v>
      </c>
      <c r="E73" s="21" t="s">
        <v>203</v>
      </c>
      <c r="F73" s="20" t="s">
        <v>38</v>
      </c>
      <c r="G73" s="22" t="n">
        <v>61</v>
      </c>
      <c r="H73" s="23" t="n">
        <f aca="false">IF(G73="","",$F$2+G73/24)</f>
        <v>46318.5833333333</v>
      </c>
      <c r="I73" s="22" t="n">
        <v>8</v>
      </c>
      <c r="J73" s="23" t="n">
        <f aca="false">IF(OR(G73="",I73=""),"",$F$2+(G73+I73)/24)</f>
        <v>46318.9166666667</v>
      </c>
      <c r="K73" s="20" t="n">
        <v>1</v>
      </c>
      <c r="L73" s="20" t="s">
        <v>39</v>
      </c>
      <c r="M73" s="20" t="s">
        <v>40</v>
      </c>
      <c r="N73" s="20" t="s">
        <v>41</v>
      </c>
      <c r="O73" s="21"/>
      <c r="P73" s="21"/>
      <c r="Q73" s="20" t="s">
        <v>40</v>
      </c>
      <c r="R73" s="20" t="s">
        <v>40</v>
      </c>
      <c r="S73" s="20" t="s">
        <v>42</v>
      </c>
    </row>
    <row r="74" customFormat="false" ht="15" hidden="false" customHeight="false" outlineLevel="0" collapsed="false">
      <c r="A74" s="20" t="s">
        <v>157</v>
      </c>
      <c r="B74" s="20" t="s">
        <v>196</v>
      </c>
      <c r="C74" s="21" t="s">
        <v>179</v>
      </c>
      <c r="D74" s="21" t="s">
        <v>204</v>
      </c>
      <c r="E74" s="21"/>
      <c r="F74" s="20" t="s">
        <v>38</v>
      </c>
      <c r="G74" s="22" t="n">
        <v>69</v>
      </c>
      <c r="H74" s="23" t="n">
        <f aca="false">IF(G74="","",$F$2+G74/24)</f>
        <v>46318.9166666667</v>
      </c>
      <c r="I74" s="22" t="n">
        <v>4</v>
      </c>
      <c r="J74" s="23" t="n">
        <f aca="false">IF(OR(G74="",I74=""),"",$F$2+(G74+I74)/24)</f>
        <v>46319.0833333333</v>
      </c>
      <c r="K74" s="20" t="n">
        <v>1</v>
      </c>
      <c r="L74" s="20" t="s">
        <v>40</v>
      </c>
      <c r="M74" s="20" t="s">
        <v>40</v>
      </c>
      <c r="N74" s="20" t="s">
        <v>41</v>
      </c>
      <c r="O74" s="21"/>
      <c r="P74" s="21"/>
      <c r="Q74" s="20" t="s">
        <v>40</v>
      </c>
      <c r="R74" s="20" t="s">
        <v>40</v>
      </c>
      <c r="S74" s="20" t="s">
        <v>42</v>
      </c>
    </row>
    <row r="75" customFormat="false" ht="15" hidden="false" customHeight="false" outlineLevel="0" collapsed="false">
      <c r="A75" s="20" t="s">
        <v>157</v>
      </c>
      <c r="B75" s="20" t="s">
        <v>196</v>
      </c>
      <c r="C75" s="21" t="s">
        <v>205</v>
      </c>
      <c r="D75" s="21" t="s">
        <v>206</v>
      </c>
      <c r="E75" s="21" t="s">
        <v>207</v>
      </c>
      <c r="F75" s="20" t="s">
        <v>38</v>
      </c>
      <c r="G75" s="22" t="n">
        <v>73</v>
      </c>
      <c r="H75" s="23" t="n">
        <f aca="false">IF(G75="","",$F$2+G75/24)</f>
        <v>46319.0833333333</v>
      </c>
      <c r="I75" s="22" t="n">
        <v>5</v>
      </c>
      <c r="J75" s="23" t="n">
        <f aca="false">IF(OR(G75="",I75=""),"",$F$2+(G75+I75)/24)</f>
        <v>46319.2916666667</v>
      </c>
      <c r="K75" s="20" t="n">
        <v>1</v>
      </c>
      <c r="L75" s="20" t="s">
        <v>40</v>
      </c>
      <c r="M75" s="20" t="s">
        <v>40</v>
      </c>
      <c r="N75" s="20" t="s">
        <v>41</v>
      </c>
      <c r="O75" s="21"/>
      <c r="P75" s="21"/>
      <c r="Q75" s="20" t="s">
        <v>40</v>
      </c>
      <c r="R75" s="20" t="s">
        <v>40</v>
      </c>
      <c r="S75" s="20" t="s">
        <v>42</v>
      </c>
    </row>
    <row r="76" customFormat="false" ht="15" hidden="false" customHeight="false" outlineLevel="0" collapsed="false">
      <c r="A76" s="20" t="s">
        <v>157</v>
      </c>
      <c r="B76" s="20" t="s">
        <v>196</v>
      </c>
      <c r="C76" s="21" t="s">
        <v>197</v>
      </c>
      <c r="D76" s="21" t="s">
        <v>208</v>
      </c>
      <c r="E76" s="21" t="s">
        <v>209</v>
      </c>
      <c r="F76" s="20" t="s">
        <v>38</v>
      </c>
      <c r="G76" s="22" t="n">
        <v>78</v>
      </c>
      <c r="H76" s="23" t="n">
        <f aca="false">IF(G76="","",$F$2+G76/24)</f>
        <v>46319.2916666667</v>
      </c>
      <c r="I76" s="22" t="n">
        <v>3</v>
      </c>
      <c r="J76" s="23" t="n">
        <f aca="false">IF(OR(G76="",I76=""),"",$F$2+(G76+I76)/24)</f>
        <v>46319.4166666667</v>
      </c>
      <c r="K76" s="20" t="n">
        <v>1</v>
      </c>
      <c r="L76" s="20" t="s">
        <v>40</v>
      </c>
      <c r="M76" s="20" t="s">
        <v>40</v>
      </c>
      <c r="N76" s="20" t="s">
        <v>41</v>
      </c>
      <c r="O76" s="21"/>
      <c r="P76" s="21"/>
      <c r="Q76" s="20" t="s">
        <v>40</v>
      </c>
      <c r="R76" s="20" t="s">
        <v>40</v>
      </c>
      <c r="S76" s="20" t="s">
        <v>42</v>
      </c>
    </row>
    <row r="77" customFormat="false" ht="15" hidden="false" customHeight="false" outlineLevel="0" collapsed="false">
      <c r="A77" s="20" t="s">
        <v>157</v>
      </c>
      <c r="B77" s="20" t="s">
        <v>196</v>
      </c>
      <c r="C77" s="21" t="s">
        <v>210</v>
      </c>
      <c r="D77" s="21" t="s">
        <v>211</v>
      </c>
      <c r="E77" s="21" t="s">
        <v>212</v>
      </c>
      <c r="F77" s="20" t="s">
        <v>38</v>
      </c>
      <c r="G77" s="22" t="n">
        <v>81</v>
      </c>
      <c r="H77" s="23" t="n">
        <f aca="false">IF(G77="","",$F$2+G77/24)</f>
        <v>46319.4166666667</v>
      </c>
      <c r="I77" s="22" t="n">
        <v>9</v>
      </c>
      <c r="J77" s="23" t="n">
        <f aca="false">IF(OR(G77="",I77=""),"",$F$2+(G77+I77)/24)</f>
        <v>46319.7916666667</v>
      </c>
      <c r="K77" s="20" t="n">
        <v>2</v>
      </c>
      <c r="L77" s="20" t="s">
        <v>40</v>
      </c>
      <c r="M77" s="20" t="s">
        <v>40</v>
      </c>
      <c r="N77" s="20" t="s">
        <v>41</v>
      </c>
      <c r="O77" s="21"/>
      <c r="P77" s="21"/>
      <c r="Q77" s="20" t="s">
        <v>40</v>
      </c>
      <c r="R77" s="20" t="s">
        <v>40</v>
      </c>
      <c r="S77" s="20" t="s">
        <v>109</v>
      </c>
    </row>
    <row r="78" customFormat="false" ht="15" hidden="false" customHeight="false" outlineLevel="0" collapsed="false">
      <c r="A78" s="20" t="s">
        <v>157</v>
      </c>
      <c r="B78" s="20" t="s">
        <v>196</v>
      </c>
      <c r="C78" s="21" t="s">
        <v>213</v>
      </c>
      <c r="D78" s="21" t="s">
        <v>214</v>
      </c>
      <c r="E78" s="21" t="s">
        <v>215</v>
      </c>
      <c r="F78" s="20" t="s">
        <v>38</v>
      </c>
      <c r="G78" s="22" t="n">
        <v>93</v>
      </c>
      <c r="H78" s="23" t="n">
        <f aca="false">IF(G78="","",$F$2+G78/24)</f>
        <v>46319.9166666667</v>
      </c>
      <c r="I78" s="22" t="n">
        <v>8</v>
      </c>
      <c r="J78" s="23" t="n">
        <f aca="false">IF(OR(G78="",I78=""),"",$F$2+(G78+I78)/24)</f>
        <v>46320.25</v>
      </c>
      <c r="K78" s="20" t="n">
        <v>2</v>
      </c>
      <c r="L78" s="20" t="s">
        <v>40</v>
      </c>
      <c r="M78" s="20" t="s">
        <v>40</v>
      </c>
      <c r="N78" s="20"/>
      <c r="O78" s="21"/>
      <c r="P78" s="21"/>
      <c r="Q78" s="20"/>
      <c r="R78" s="20"/>
      <c r="S78" s="20"/>
    </row>
    <row r="79" customFormat="false" ht="15" hidden="false" customHeight="false" outlineLevel="0" collapsed="false">
      <c r="A79" s="20" t="s">
        <v>157</v>
      </c>
      <c r="B79" s="20" t="s">
        <v>196</v>
      </c>
      <c r="C79" s="21" t="s">
        <v>216</v>
      </c>
      <c r="D79" s="21" t="s">
        <v>217</v>
      </c>
      <c r="E79" s="21" t="s">
        <v>218</v>
      </c>
      <c r="F79" s="20" t="s">
        <v>80</v>
      </c>
      <c r="G79" s="22" t="n">
        <v>101</v>
      </c>
      <c r="H79" s="23" t="n">
        <f aca="false">IF(G79="","",$F$2+G79/24)</f>
        <v>46320.25</v>
      </c>
      <c r="I79" s="22" t="n">
        <v>8</v>
      </c>
      <c r="J79" s="23" t="n">
        <f aca="false">IF(OR(G79="",I79=""),"",$F$2+(G79+I79)/24)</f>
        <v>46320.5833333333</v>
      </c>
      <c r="K79" s="20" t="n">
        <v>2</v>
      </c>
      <c r="L79" s="20" t="s">
        <v>40</v>
      </c>
      <c r="M79" s="20" t="s">
        <v>40</v>
      </c>
      <c r="N79" s="20" t="s">
        <v>41</v>
      </c>
      <c r="O79" s="21"/>
      <c r="P79" s="21"/>
      <c r="Q79" s="20" t="s">
        <v>40</v>
      </c>
      <c r="R79" s="20" t="s">
        <v>40</v>
      </c>
      <c r="S79" s="20" t="s">
        <v>42</v>
      </c>
    </row>
    <row r="80" customFormat="false" ht="15" hidden="false" customHeight="false" outlineLevel="0" collapsed="false">
      <c r="A80" s="20" t="s">
        <v>157</v>
      </c>
      <c r="B80" s="20" t="s">
        <v>196</v>
      </c>
      <c r="C80" s="21" t="s">
        <v>219</v>
      </c>
      <c r="D80" s="21" t="s">
        <v>220</v>
      </c>
      <c r="E80" s="21" t="s">
        <v>221</v>
      </c>
      <c r="F80" s="20" t="s">
        <v>80</v>
      </c>
      <c r="G80" s="22" t="n">
        <v>109</v>
      </c>
      <c r="H80" s="23" t="n">
        <f aca="false">IF(G80="","",$F$2+G80/24)</f>
        <v>46320.5833333333</v>
      </c>
      <c r="I80" s="22" t="n">
        <v>8</v>
      </c>
      <c r="J80" s="23" t="n">
        <f aca="false">IF(OR(G80="",I80=""),"",$F$2+(G80+I80)/24)</f>
        <v>46320.9166666667</v>
      </c>
      <c r="K80" s="20" t="n">
        <v>2</v>
      </c>
      <c r="L80" s="20" t="s">
        <v>40</v>
      </c>
      <c r="M80" s="20" t="s">
        <v>40</v>
      </c>
      <c r="N80" s="20" t="s">
        <v>55</v>
      </c>
      <c r="O80" s="21"/>
      <c r="P80" s="21"/>
      <c r="Q80" s="20" t="s">
        <v>40</v>
      </c>
      <c r="R80" s="20" t="s">
        <v>40</v>
      </c>
      <c r="S80" s="20" t="s">
        <v>56</v>
      </c>
    </row>
    <row r="81" customFormat="false" ht="15" hidden="false" customHeight="false" outlineLevel="0" collapsed="false">
      <c r="A81" s="20" t="s">
        <v>157</v>
      </c>
      <c r="B81" s="20" t="s">
        <v>196</v>
      </c>
      <c r="C81" s="21" t="s">
        <v>222</v>
      </c>
      <c r="D81" s="21" t="s">
        <v>223</v>
      </c>
      <c r="E81" s="21" t="s">
        <v>224</v>
      </c>
      <c r="F81" s="20" t="s">
        <v>80</v>
      </c>
      <c r="G81" s="22" t="n">
        <v>117</v>
      </c>
      <c r="H81" s="23" t="n">
        <f aca="false">IF(G81="","",$F$2+G81/24)</f>
        <v>46320.9166666667</v>
      </c>
      <c r="I81" s="22" t="n">
        <v>8</v>
      </c>
      <c r="J81" s="23" t="n">
        <f aca="false">IF(OR(G81="",I81=""),"",$F$2+(G81+I81)/24)</f>
        <v>46321.25</v>
      </c>
      <c r="K81" s="20" t="n">
        <v>3</v>
      </c>
      <c r="L81" s="20" t="s">
        <v>40</v>
      </c>
      <c r="M81" s="20" t="s">
        <v>40</v>
      </c>
      <c r="N81" s="20"/>
      <c r="O81" s="21"/>
      <c r="P81" s="21"/>
      <c r="Q81" s="20"/>
      <c r="R81" s="20"/>
      <c r="S81" s="20"/>
    </row>
    <row r="82" customFormat="false" ht="15" hidden="false" customHeight="false" outlineLevel="0" collapsed="false">
      <c r="A82" s="24" t="s">
        <v>157</v>
      </c>
      <c r="B82" s="24" t="s">
        <v>225</v>
      </c>
      <c r="C82" s="25" t="s">
        <v>197</v>
      </c>
      <c r="D82" s="25" t="s">
        <v>226</v>
      </c>
      <c r="E82" s="25" t="s">
        <v>227</v>
      </c>
      <c r="F82" s="24" t="s">
        <v>38</v>
      </c>
      <c r="G82" s="26" t="n">
        <v>45</v>
      </c>
      <c r="H82" s="27" t="n">
        <f aca="false">IF(G82="","",$F$2+G82/24)</f>
        <v>46317.9166666667</v>
      </c>
      <c r="I82" s="26" t="n">
        <v>4</v>
      </c>
      <c r="J82" s="27" t="n">
        <f aca="false">IF(OR(G82="",I82=""),"",$F$2+(G82+I82)/24)</f>
        <v>46318.0833333333</v>
      </c>
      <c r="K82" s="24" t="n">
        <v>1</v>
      </c>
      <c r="L82" s="24" t="s">
        <v>40</v>
      </c>
      <c r="M82" s="24" t="s">
        <v>40</v>
      </c>
      <c r="N82" s="24"/>
      <c r="O82" s="25"/>
      <c r="P82" s="25"/>
      <c r="Q82" s="24"/>
      <c r="R82" s="24"/>
      <c r="S82" s="24"/>
    </row>
    <row r="83" customFormat="false" ht="46.25" hidden="false" customHeight="false" outlineLevel="0" collapsed="false">
      <c r="A83" s="20" t="s">
        <v>157</v>
      </c>
      <c r="B83" s="20" t="s">
        <v>225</v>
      </c>
      <c r="C83" s="21"/>
      <c r="D83" s="21" t="s">
        <v>228</v>
      </c>
      <c r="E83" s="21" t="s">
        <v>229</v>
      </c>
      <c r="F83" s="20" t="s">
        <v>38</v>
      </c>
      <c r="G83" s="22" t="n">
        <v>53</v>
      </c>
      <c r="H83" s="23" t="n">
        <f aca="false">IF(G83="","",$F$2+G83/24)</f>
        <v>46318.25</v>
      </c>
      <c r="I83" s="22" t="n">
        <v>8</v>
      </c>
      <c r="J83" s="23" t="n">
        <f aca="false">IF(OR(G83="",I83=""),"",$F$2+(G83+I83)/24)</f>
        <v>46318.5833333333</v>
      </c>
      <c r="K83" s="20" t="n">
        <v>3</v>
      </c>
      <c r="L83" s="20" t="s">
        <v>40</v>
      </c>
      <c r="M83" s="20" t="s">
        <v>40</v>
      </c>
      <c r="N83" s="20" t="s">
        <v>55</v>
      </c>
      <c r="O83" s="21"/>
      <c r="P83" s="21"/>
      <c r="Q83" s="20" t="s">
        <v>40</v>
      </c>
      <c r="R83" s="20" t="s">
        <v>40</v>
      </c>
      <c r="S83" s="20" t="s">
        <v>56</v>
      </c>
    </row>
    <row r="84" customFormat="false" ht="15" hidden="false" customHeight="false" outlineLevel="0" collapsed="false">
      <c r="A84" s="20" t="s">
        <v>157</v>
      </c>
      <c r="B84" s="20" t="s">
        <v>225</v>
      </c>
      <c r="C84" s="21" t="s">
        <v>230</v>
      </c>
      <c r="D84" s="21" t="s">
        <v>231</v>
      </c>
      <c r="E84" s="21" t="s">
        <v>232</v>
      </c>
      <c r="F84" s="20" t="s">
        <v>38</v>
      </c>
      <c r="G84" s="22" t="n">
        <v>61</v>
      </c>
      <c r="H84" s="23" t="n">
        <f aca="false">IF(G84="","",$F$2+G84/24)</f>
        <v>46318.5833333333</v>
      </c>
      <c r="I84" s="22" t="n">
        <v>8</v>
      </c>
      <c r="J84" s="23" t="n">
        <f aca="false">IF(OR(G84="",I84=""),"",$F$2+(G84+I84)/24)</f>
        <v>46318.9166666667</v>
      </c>
      <c r="K84" s="20" t="n">
        <v>3</v>
      </c>
      <c r="L84" s="20" t="s">
        <v>40</v>
      </c>
      <c r="M84" s="20" t="s">
        <v>40</v>
      </c>
      <c r="N84" s="20"/>
      <c r="O84" s="21"/>
      <c r="P84" s="21"/>
      <c r="Q84" s="20"/>
      <c r="R84" s="20"/>
      <c r="S84" s="20"/>
    </row>
    <row r="85" customFormat="false" ht="15" hidden="false" customHeight="false" outlineLevel="0" collapsed="false">
      <c r="A85" s="20" t="s">
        <v>157</v>
      </c>
      <c r="B85" s="20" t="s">
        <v>225</v>
      </c>
      <c r="C85" s="21" t="s">
        <v>233</v>
      </c>
      <c r="D85" s="21" t="s">
        <v>234</v>
      </c>
      <c r="E85" s="21" t="s">
        <v>235</v>
      </c>
      <c r="F85" s="20" t="s">
        <v>38</v>
      </c>
      <c r="G85" s="22" t="n">
        <v>69</v>
      </c>
      <c r="H85" s="23" t="n">
        <f aca="false">IF(G85="","",$F$2+G85/24)</f>
        <v>46318.9166666667</v>
      </c>
      <c r="I85" s="22" t="n">
        <v>8</v>
      </c>
      <c r="J85" s="23" t="n">
        <f aca="false">IF(OR(G85="",I85=""),"",$F$2+(G85+I85)/24)</f>
        <v>46319.25</v>
      </c>
      <c r="K85" s="20" t="n">
        <v>2</v>
      </c>
      <c r="L85" s="20" t="s">
        <v>40</v>
      </c>
      <c r="M85" s="20" t="s">
        <v>40</v>
      </c>
      <c r="N85" s="20"/>
      <c r="O85" s="21"/>
      <c r="P85" s="21"/>
      <c r="Q85" s="20"/>
      <c r="R85" s="20"/>
      <c r="S85" s="20"/>
    </row>
    <row r="86" customFormat="false" ht="15" hidden="false" customHeight="false" outlineLevel="0" collapsed="false">
      <c r="A86" s="20" t="s">
        <v>157</v>
      </c>
      <c r="B86" s="20" t="s">
        <v>225</v>
      </c>
      <c r="C86" s="21"/>
      <c r="D86" s="21" t="s">
        <v>236</v>
      </c>
      <c r="E86" s="21" t="s">
        <v>237</v>
      </c>
      <c r="F86" s="20" t="s">
        <v>38</v>
      </c>
      <c r="G86" s="22" t="n">
        <v>93</v>
      </c>
      <c r="H86" s="23" t="n">
        <f aca="false">IF(G86="","",$F$2+G86/24)</f>
        <v>46319.9166666667</v>
      </c>
      <c r="I86" s="22" t="n">
        <v>8</v>
      </c>
      <c r="J86" s="23" t="n">
        <f aca="false">IF(OR(G86="",I86=""),"",$F$2+(G86+I86)/24)</f>
        <v>46320.25</v>
      </c>
      <c r="K86" s="20" t="n">
        <v>2</v>
      </c>
      <c r="L86" s="20" t="s">
        <v>40</v>
      </c>
      <c r="M86" s="20" t="s">
        <v>40</v>
      </c>
      <c r="N86" s="20"/>
      <c r="O86" s="21"/>
      <c r="P86" s="21"/>
      <c r="Q86" s="20"/>
      <c r="R86" s="20"/>
      <c r="S86" s="20"/>
    </row>
    <row r="87" customFormat="false" ht="15" hidden="false" customHeight="false" outlineLevel="0" collapsed="false">
      <c r="A87" s="20"/>
      <c r="B87" s="20"/>
      <c r="C87" s="21"/>
      <c r="D87" s="21"/>
      <c r="E87" s="21"/>
      <c r="F87" s="20"/>
      <c r="G87" s="22"/>
      <c r="H87" s="23" t="str">
        <f aca="false">IF(G87="","",$F$2+G87/24)</f>
        <v/>
      </c>
      <c r="I87" s="22"/>
      <c r="J87" s="23" t="str">
        <f aca="false">IF(OR(G87="",I87=""),"",$F$2+(G87+I87)/24)</f>
        <v/>
      </c>
      <c r="K87" s="20"/>
      <c r="L87" s="20"/>
      <c r="M87" s="20"/>
      <c r="N87" s="20"/>
      <c r="O87" s="21"/>
      <c r="P87" s="21"/>
      <c r="Q87" s="20"/>
      <c r="R87" s="20"/>
      <c r="S87" s="20"/>
    </row>
    <row r="88" customFormat="false" ht="15" hidden="false" customHeight="false" outlineLevel="0" collapsed="false">
      <c r="A88" s="20"/>
      <c r="B88" s="20"/>
      <c r="C88" s="21"/>
      <c r="D88" s="21"/>
      <c r="E88" s="21"/>
      <c r="F88" s="20"/>
      <c r="G88" s="22"/>
      <c r="H88" s="23" t="str">
        <f aca="false">IF(G88="","",$F$2+G88/24)</f>
        <v/>
      </c>
      <c r="I88" s="22"/>
      <c r="J88" s="23" t="str">
        <f aca="false">IF(OR(G88="",I88=""),"",$F$2+(G88+I88)/24)</f>
        <v/>
      </c>
      <c r="K88" s="20"/>
      <c r="L88" s="20"/>
      <c r="M88" s="20"/>
      <c r="N88" s="20"/>
      <c r="O88" s="21"/>
      <c r="P88" s="21"/>
      <c r="Q88" s="20"/>
      <c r="R88" s="20"/>
      <c r="S88" s="20"/>
    </row>
    <row r="89" customFormat="false" ht="15" hidden="false" customHeight="false" outlineLevel="0" collapsed="false">
      <c r="A89" s="20"/>
      <c r="B89" s="20"/>
      <c r="C89" s="21"/>
      <c r="D89" s="21"/>
      <c r="E89" s="21"/>
      <c r="F89" s="20"/>
      <c r="G89" s="22"/>
      <c r="H89" s="23" t="str">
        <f aca="false">IF(G89="","",$F$2+G89/24)</f>
        <v/>
      </c>
      <c r="I89" s="22"/>
      <c r="J89" s="23" t="str">
        <f aca="false">IF(OR(G89="",I89=""),"",$F$2+(G89+I89)/24)</f>
        <v/>
      </c>
      <c r="K89" s="20"/>
      <c r="L89" s="20"/>
      <c r="M89" s="20"/>
      <c r="N89" s="20"/>
      <c r="O89" s="21"/>
      <c r="P89" s="21"/>
      <c r="Q89" s="20"/>
      <c r="R89" s="20"/>
      <c r="S89" s="20"/>
    </row>
    <row r="90" customFormat="false" ht="15" hidden="false" customHeight="false" outlineLevel="0" collapsed="false">
      <c r="A90" s="20"/>
      <c r="B90" s="20"/>
      <c r="C90" s="21"/>
      <c r="D90" s="21"/>
      <c r="E90" s="21"/>
      <c r="F90" s="20"/>
      <c r="G90" s="22"/>
      <c r="H90" s="23" t="str">
        <f aca="false">IF(G90="","",$F$2+G90/24)</f>
        <v/>
      </c>
      <c r="I90" s="22"/>
      <c r="J90" s="23" t="str">
        <f aca="false">IF(OR(G90="",I90=""),"",$F$2+(G90+I90)/24)</f>
        <v/>
      </c>
      <c r="K90" s="20"/>
      <c r="L90" s="20"/>
      <c r="M90" s="20"/>
      <c r="N90" s="20"/>
      <c r="O90" s="21"/>
      <c r="P90" s="21"/>
      <c r="Q90" s="20"/>
      <c r="R90" s="20"/>
      <c r="S90" s="20"/>
    </row>
    <row r="91" customFormat="false" ht="15" hidden="false" customHeight="false" outlineLevel="0" collapsed="false">
      <c r="A91" s="20"/>
      <c r="B91" s="20"/>
      <c r="C91" s="21"/>
      <c r="D91" s="21"/>
      <c r="E91" s="21"/>
      <c r="F91" s="20"/>
      <c r="G91" s="22"/>
      <c r="H91" s="23" t="str">
        <f aca="false">IF(G91="","",$F$2+G91/24)</f>
        <v/>
      </c>
      <c r="I91" s="22"/>
      <c r="J91" s="23" t="str">
        <f aca="false">IF(OR(G91="",I91=""),"",$F$2+(G91+I91)/24)</f>
        <v/>
      </c>
      <c r="K91" s="20"/>
      <c r="L91" s="20"/>
      <c r="M91" s="20"/>
      <c r="N91" s="20"/>
      <c r="O91" s="21"/>
      <c r="P91" s="21"/>
      <c r="Q91" s="20"/>
      <c r="R91" s="20"/>
      <c r="S91" s="20"/>
    </row>
    <row r="92" customFormat="false" ht="15" hidden="false" customHeight="false" outlineLevel="0" collapsed="false">
      <c r="A92" s="20"/>
      <c r="B92" s="20"/>
      <c r="C92" s="21"/>
      <c r="D92" s="21"/>
      <c r="E92" s="21"/>
      <c r="F92" s="20"/>
      <c r="G92" s="22"/>
      <c r="H92" s="23" t="str">
        <f aca="false">IF(G92="","",$F$2+G92/24)</f>
        <v/>
      </c>
      <c r="I92" s="22"/>
      <c r="J92" s="23" t="str">
        <f aca="false">IF(OR(G92="",I92=""),"",$F$2+(G92+I92)/24)</f>
        <v/>
      </c>
      <c r="K92" s="20"/>
      <c r="L92" s="20"/>
      <c r="M92" s="20"/>
      <c r="N92" s="20"/>
      <c r="O92" s="21"/>
      <c r="P92" s="21"/>
      <c r="Q92" s="20"/>
      <c r="R92" s="20"/>
      <c r="S92" s="20"/>
    </row>
    <row r="93" customFormat="false" ht="15" hidden="false" customHeight="false" outlineLevel="0" collapsed="false">
      <c r="A93" s="20"/>
      <c r="B93" s="20"/>
      <c r="C93" s="21"/>
      <c r="D93" s="21"/>
      <c r="E93" s="21"/>
      <c r="F93" s="20"/>
      <c r="G93" s="22"/>
      <c r="H93" s="23" t="str">
        <f aca="false">IF(G93="","",$F$2+G93/24)</f>
        <v/>
      </c>
      <c r="I93" s="22"/>
      <c r="J93" s="23" t="str">
        <f aca="false">IF(OR(G93="",I93=""),"",$F$2+(G93+I93)/24)</f>
        <v/>
      </c>
      <c r="K93" s="20"/>
      <c r="L93" s="20"/>
      <c r="M93" s="20"/>
      <c r="N93" s="20"/>
      <c r="O93" s="21"/>
      <c r="P93" s="21"/>
      <c r="Q93" s="20"/>
      <c r="R93" s="20"/>
      <c r="S93" s="20"/>
    </row>
    <row r="94" customFormat="false" ht="15" hidden="false" customHeight="false" outlineLevel="0" collapsed="false">
      <c r="A94" s="20"/>
      <c r="B94" s="20"/>
      <c r="C94" s="21"/>
      <c r="D94" s="21"/>
      <c r="E94" s="21"/>
      <c r="F94" s="20"/>
      <c r="G94" s="22"/>
      <c r="H94" s="23" t="str">
        <f aca="false">IF(G94="","",$F$2+G94/24)</f>
        <v/>
      </c>
      <c r="I94" s="22"/>
      <c r="J94" s="23" t="str">
        <f aca="false">IF(OR(G94="",I94=""),"",$F$2+(G94+I94)/24)</f>
        <v/>
      </c>
      <c r="K94" s="20"/>
      <c r="L94" s="20"/>
      <c r="M94" s="20"/>
      <c r="N94" s="20"/>
      <c r="O94" s="21"/>
      <c r="P94" s="21"/>
      <c r="Q94" s="20"/>
      <c r="R94" s="20"/>
      <c r="S94" s="20"/>
    </row>
    <row r="95" customFormat="false" ht="15" hidden="false" customHeight="false" outlineLevel="0" collapsed="false">
      <c r="A95" s="20"/>
      <c r="B95" s="20"/>
      <c r="C95" s="21"/>
      <c r="D95" s="21"/>
      <c r="E95" s="21"/>
      <c r="F95" s="20"/>
      <c r="G95" s="22"/>
      <c r="H95" s="23" t="str">
        <f aca="false">IF(G95="","",$F$2+G95/24)</f>
        <v/>
      </c>
      <c r="I95" s="22"/>
      <c r="J95" s="23" t="str">
        <f aca="false">IF(OR(G95="",I95=""),"",$F$2+(G95+I95)/24)</f>
        <v/>
      </c>
      <c r="K95" s="20"/>
      <c r="L95" s="20"/>
      <c r="M95" s="20"/>
      <c r="N95" s="20"/>
      <c r="O95" s="21"/>
      <c r="P95" s="21"/>
      <c r="Q95" s="20"/>
      <c r="R95" s="20"/>
      <c r="S95" s="20"/>
    </row>
    <row r="96" customFormat="false" ht="15" hidden="false" customHeight="false" outlineLevel="0" collapsed="false">
      <c r="A96" s="20"/>
      <c r="B96" s="20"/>
      <c r="C96" s="21"/>
      <c r="D96" s="21"/>
      <c r="E96" s="21"/>
      <c r="F96" s="20"/>
      <c r="G96" s="22"/>
      <c r="H96" s="23" t="str">
        <f aca="false">IF(G96="","",$F$2+G96/24)</f>
        <v/>
      </c>
      <c r="I96" s="22"/>
      <c r="J96" s="23" t="str">
        <f aca="false">IF(OR(G96="",I96=""),"",$F$2+(G96+I96)/24)</f>
        <v/>
      </c>
      <c r="K96" s="20"/>
      <c r="L96" s="20"/>
      <c r="M96" s="20"/>
      <c r="N96" s="20"/>
      <c r="O96" s="21"/>
      <c r="P96" s="21"/>
      <c r="Q96" s="20"/>
      <c r="R96" s="20"/>
      <c r="S96" s="20"/>
    </row>
    <row r="97" customFormat="false" ht="15" hidden="false" customHeight="false" outlineLevel="0" collapsed="false">
      <c r="A97" s="20"/>
      <c r="B97" s="20"/>
      <c r="C97" s="21"/>
      <c r="D97" s="21"/>
      <c r="E97" s="21"/>
      <c r="F97" s="20"/>
      <c r="G97" s="22"/>
      <c r="H97" s="23" t="str">
        <f aca="false">IF(G97="","",$F$2+G97/24)</f>
        <v/>
      </c>
      <c r="I97" s="22"/>
      <c r="J97" s="23" t="str">
        <f aca="false">IF(OR(G97="",I97=""),"",$F$2+(G97+I97)/24)</f>
        <v/>
      </c>
      <c r="K97" s="20"/>
      <c r="L97" s="20"/>
      <c r="M97" s="20"/>
      <c r="N97" s="20"/>
      <c r="O97" s="21"/>
      <c r="P97" s="21"/>
      <c r="Q97" s="20"/>
      <c r="R97" s="20"/>
      <c r="S97" s="20"/>
    </row>
    <row r="98" customFormat="false" ht="15" hidden="false" customHeight="false" outlineLevel="0" collapsed="false">
      <c r="A98" s="20"/>
      <c r="B98" s="20"/>
      <c r="C98" s="21"/>
      <c r="D98" s="21"/>
      <c r="E98" s="21"/>
      <c r="F98" s="20"/>
      <c r="G98" s="22"/>
      <c r="H98" s="23" t="str">
        <f aca="false">IF(G98="","",$F$2+G98/24)</f>
        <v/>
      </c>
      <c r="I98" s="22"/>
      <c r="J98" s="23" t="str">
        <f aca="false">IF(OR(G98="",I98=""),"",$F$2+(G98+I98)/24)</f>
        <v/>
      </c>
      <c r="K98" s="20"/>
      <c r="L98" s="20"/>
      <c r="M98" s="20"/>
      <c r="N98" s="20"/>
      <c r="O98" s="21"/>
      <c r="P98" s="21"/>
      <c r="Q98" s="20"/>
      <c r="R98" s="20"/>
      <c r="S98" s="20"/>
    </row>
    <row r="99" customFormat="false" ht="15" hidden="false" customHeight="false" outlineLevel="0" collapsed="false">
      <c r="A99" s="20"/>
      <c r="B99" s="20"/>
      <c r="C99" s="21"/>
      <c r="D99" s="21"/>
      <c r="E99" s="21"/>
      <c r="F99" s="20"/>
      <c r="G99" s="22"/>
      <c r="H99" s="23" t="str">
        <f aca="false">IF(G99="","",$F$2+G99/24)</f>
        <v/>
      </c>
      <c r="I99" s="22"/>
      <c r="J99" s="23" t="str">
        <f aca="false">IF(OR(G99="",I99=""),"",$F$2+(G99+I99)/24)</f>
        <v/>
      </c>
      <c r="K99" s="20"/>
      <c r="L99" s="20"/>
      <c r="M99" s="20"/>
      <c r="N99" s="20"/>
      <c r="O99" s="21"/>
      <c r="P99" s="21"/>
      <c r="Q99" s="20"/>
      <c r="R99" s="20"/>
      <c r="S99" s="20"/>
    </row>
    <row r="100" customFormat="false" ht="15" hidden="false" customHeight="false" outlineLevel="0" collapsed="false">
      <c r="A100" s="20"/>
      <c r="B100" s="20"/>
      <c r="C100" s="21"/>
      <c r="D100" s="21"/>
      <c r="E100" s="21"/>
      <c r="F100" s="20"/>
      <c r="G100" s="22"/>
      <c r="H100" s="23" t="str">
        <f aca="false">IF(G100="","",$F$2+G100/24)</f>
        <v/>
      </c>
      <c r="I100" s="22"/>
      <c r="J100" s="23" t="str">
        <f aca="false">IF(OR(G100="",I100=""),"",$F$2+(G100+I100)/24)</f>
        <v/>
      </c>
      <c r="K100" s="20"/>
      <c r="L100" s="20"/>
      <c r="M100" s="20"/>
      <c r="N100" s="20"/>
      <c r="O100" s="21"/>
      <c r="P100" s="21"/>
      <c r="Q100" s="20"/>
      <c r="R100" s="20"/>
      <c r="S100" s="20"/>
    </row>
    <row r="101" customFormat="false" ht="15" hidden="false" customHeight="false" outlineLevel="0" collapsed="false">
      <c r="A101" s="20"/>
      <c r="B101" s="20"/>
      <c r="C101" s="21"/>
      <c r="D101" s="21"/>
      <c r="E101" s="21"/>
      <c r="F101" s="20"/>
      <c r="G101" s="22"/>
      <c r="H101" s="23" t="str">
        <f aca="false">IF(G101="","",$F$2+G101/24)</f>
        <v/>
      </c>
      <c r="I101" s="22"/>
      <c r="J101" s="23" t="str">
        <f aca="false">IF(OR(G101="",I101=""),"",$F$2+(G101+I101)/24)</f>
        <v/>
      </c>
      <c r="K101" s="20"/>
      <c r="L101" s="20"/>
      <c r="M101" s="20"/>
      <c r="N101" s="20"/>
      <c r="O101" s="21"/>
      <c r="P101" s="21"/>
      <c r="Q101" s="20"/>
      <c r="R101" s="20"/>
      <c r="S101" s="20"/>
    </row>
    <row r="102" customFormat="false" ht="15" hidden="false" customHeight="false" outlineLevel="0" collapsed="false">
      <c r="A102" s="20"/>
      <c r="B102" s="20"/>
      <c r="C102" s="21"/>
      <c r="D102" s="21"/>
      <c r="E102" s="21"/>
      <c r="F102" s="20"/>
      <c r="G102" s="22"/>
      <c r="H102" s="23" t="str">
        <f aca="false">IF(G102="","",$F$2+G102/24)</f>
        <v/>
      </c>
      <c r="I102" s="22"/>
      <c r="J102" s="23" t="str">
        <f aca="false">IF(OR(G102="",I102=""),"",$F$2+(G102+I102)/24)</f>
        <v/>
      </c>
      <c r="K102" s="20"/>
      <c r="L102" s="20"/>
      <c r="M102" s="20"/>
      <c r="N102" s="20"/>
      <c r="O102" s="21"/>
      <c r="P102" s="21"/>
      <c r="Q102" s="20"/>
      <c r="R102" s="20"/>
      <c r="S102" s="20"/>
    </row>
    <row r="103" customFormat="false" ht="15" hidden="false" customHeight="false" outlineLevel="0" collapsed="false">
      <c r="A103" s="20"/>
      <c r="B103" s="20"/>
      <c r="C103" s="21"/>
      <c r="D103" s="21"/>
      <c r="E103" s="21"/>
      <c r="F103" s="20"/>
      <c r="G103" s="22"/>
      <c r="H103" s="23" t="str">
        <f aca="false">IF(G103="","",$F$2+G103/24)</f>
        <v/>
      </c>
      <c r="I103" s="22"/>
      <c r="J103" s="23" t="str">
        <f aca="false">IF(OR(G103="",I103=""),"",$F$2+(G103+I103)/24)</f>
        <v/>
      </c>
      <c r="K103" s="20"/>
      <c r="L103" s="20"/>
      <c r="M103" s="20"/>
      <c r="N103" s="20"/>
      <c r="O103" s="21"/>
      <c r="P103" s="21"/>
      <c r="Q103" s="20"/>
      <c r="R103" s="20"/>
      <c r="S103" s="20"/>
    </row>
    <row r="104" customFormat="false" ht="15" hidden="false" customHeight="false" outlineLevel="0" collapsed="false">
      <c r="A104" s="20"/>
      <c r="B104" s="20"/>
      <c r="C104" s="21"/>
      <c r="D104" s="21"/>
      <c r="E104" s="21"/>
      <c r="F104" s="20"/>
      <c r="G104" s="22"/>
      <c r="H104" s="23" t="str">
        <f aca="false">IF(G104="","",$F$2+G104/24)</f>
        <v/>
      </c>
      <c r="I104" s="22"/>
      <c r="J104" s="23" t="str">
        <f aca="false">IF(OR(G104="",I104=""),"",$F$2+(G104+I104)/24)</f>
        <v/>
      </c>
      <c r="K104" s="20"/>
      <c r="L104" s="20"/>
      <c r="M104" s="20"/>
      <c r="N104" s="20"/>
      <c r="O104" s="21"/>
      <c r="P104" s="21"/>
      <c r="Q104" s="20"/>
      <c r="R104" s="20"/>
      <c r="S104" s="20"/>
    </row>
    <row r="105" customFormat="false" ht="15" hidden="false" customHeight="false" outlineLevel="0" collapsed="false">
      <c r="A105" s="20"/>
      <c r="B105" s="20"/>
      <c r="C105" s="21"/>
      <c r="D105" s="21"/>
      <c r="E105" s="21"/>
      <c r="F105" s="20"/>
      <c r="G105" s="22"/>
      <c r="H105" s="23" t="str">
        <f aca="false">IF(G105="","",$F$2+G105/24)</f>
        <v/>
      </c>
      <c r="I105" s="22"/>
      <c r="J105" s="23" t="str">
        <f aca="false">IF(OR(G105="",I105=""),"",$F$2+(G105+I105)/24)</f>
        <v/>
      </c>
      <c r="K105" s="20"/>
      <c r="L105" s="20"/>
      <c r="M105" s="20"/>
      <c r="N105" s="20"/>
      <c r="O105" s="21"/>
      <c r="P105" s="21"/>
      <c r="Q105" s="20"/>
      <c r="R105" s="20"/>
      <c r="S105" s="20"/>
    </row>
    <row r="106" customFormat="false" ht="15" hidden="false" customHeight="false" outlineLevel="0" collapsed="false">
      <c r="A106" s="20"/>
      <c r="B106" s="20"/>
      <c r="C106" s="21"/>
      <c r="D106" s="21"/>
      <c r="E106" s="21"/>
      <c r="F106" s="20"/>
      <c r="G106" s="22"/>
      <c r="H106" s="23" t="str">
        <f aca="false">IF(G106="","",$F$2+G106/24)</f>
        <v/>
      </c>
      <c r="I106" s="22"/>
      <c r="J106" s="23" t="str">
        <f aca="false">IF(OR(G106="",I106=""),"",$F$2+(G106+I106)/24)</f>
        <v/>
      </c>
      <c r="K106" s="20"/>
      <c r="L106" s="20"/>
      <c r="M106" s="20"/>
      <c r="N106" s="20"/>
      <c r="O106" s="21"/>
      <c r="P106" s="21"/>
      <c r="Q106" s="20"/>
      <c r="R106" s="20"/>
      <c r="S106" s="20"/>
    </row>
    <row r="107" customFormat="false" ht="15" hidden="false" customHeight="false" outlineLevel="0" collapsed="false">
      <c r="A107" s="20"/>
      <c r="B107" s="20"/>
      <c r="C107" s="21"/>
      <c r="D107" s="21"/>
      <c r="E107" s="21"/>
      <c r="F107" s="20"/>
      <c r="G107" s="22"/>
      <c r="H107" s="23" t="str">
        <f aca="false">IF(G107="","",$F$2+G107/24)</f>
        <v/>
      </c>
      <c r="I107" s="22"/>
      <c r="J107" s="23" t="str">
        <f aca="false">IF(OR(G107="",I107=""),"",$F$2+(G107+I107)/24)</f>
        <v/>
      </c>
      <c r="K107" s="20"/>
      <c r="L107" s="20"/>
      <c r="M107" s="20"/>
      <c r="N107" s="20"/>
      <c r="O107" s="21"/>
      <c r="P107" s="21"/>
      <c r="Q107" s="20"/>
      <c r="R107" s="20"/>
      <c r="S107" s="20"/>
    </row>
    <row r="108" customFormat="false" ht="15" hidden="false" customHeight="false" outlineLevel="0" collapsed="false">
      <c r="A108" s="20"/>
      <c r="B108" s="20"/>
      <c r="C108" s="21"/>
      <c r="D108" s="21"/>
      <c r="E108" s="21"/>
      <c r="F108" s="20"/>
      <c r="G108" s="22"/>
      <c r="H108" s="23" t="str">
        <f aca="false">IF(G108="","",$F$2+G108/24)</f>
        <v/>
      </c>
      <c r="I108" s="22"/>
      <c r="J108" s="23" t="str">
        <f aca="false">IF(OR(G108="",I108=""),"",$F$2+(G108+I108)/24)</f>
        <v/>
      </c>
      <c r="K108" s="20"/>
      <c r="L108" s="20"/>
      <c r="M108" s="20"/>
      <c r="N108" s="20"/>
      <c r="O108" s="21"/>
      <c r="P108" s="21"/>
      <c r="Q108" s="20"/>
      <c r="R108" s="20"/>
      <c r="S108" s="20"/>
    </row>
    <row r="109" customFormat="false" ht="15" hidden="false" customHeight="false" outlineLevel="0" collapsed="false">
      <c r="A109" s="20"/>
      <c r="B109" s="20"/>
      <c r="C109" s="21"/>
      <c r="D109" s="21"/>
      <c r="E109" s="21"/>
      <c r="F109" s="20"/>
      <c r="G109" s="22"/>
      <c r="H109" s="23" t="str">
        <f aca="false">IF(G109="","",$F$2+G109/24)</f>
        <v/>
      </c>
      <c r="I109" s="22"/>
      <c r="J109" s="23" t="str">
        <f aca="false">IF(OR(G109="",I109=""),"",$F$2+(G109+I109)/24)</f>
        <v/>
      </c>
      <c r="K109" s="20"/>
      <c r="L109" s="20"/>
      <c r="M109" s="20"/>
      <c r="N109" s="20"/>
      <c r="O109" s="21"/>
      <c r="P109" s="21"/>
      <c r="Q109" s="20"/>
      <c r="R109" s="20"/>
      <c r="S109" s="20"/>
    </row>
    <row r="110" customFormat="false" ht="15" hidden="false" customHeight="false" outlineLevel="0" collapsed="false">
      <c r="A110" s="20"/>
      <c r="B110" s="20"/>
      <c r="C110" s="21"/>
      <c r="D110" s="21"/>
      <c r="E110" s="21"/>
      <c r="F110" s="20"/>
      <c r="G110" s="22"/>
      <c r="H110" s="23" t="str">
        <f aca="false">IF(G110="","",$F$2+G110/24)</f>
        <v/>
      </c>
      <c r="I110" s="22"/>
      <c r="J110" s="23" t="str">
        <f aca="false">IF(OR(G110="",I110=""),"",$F$2+(G110+I110)/24)</f>
        <v/>
      </c>
      <c r="K110" s="20"/>
      <c r="L110" s="20"/>
      <c r="M110" s="20"/>
      <c r="N110" s="20"/>
      <c r="O110" s="21"/>
      <c r="P110" s="21"/>
      <c r="Q110" s="20"/>
      <c r="R110" s="20"/>
      <c r="S110" s="20"/>
    </row>
    <row r="111" customFormat="false" ht="15" hidden="false" customHeight="false" outlineLevel="0" collapsed="false">
      <c r="A111" s="20"/>
      <c r="B111" s="20"/>
      <c r="C111" s="21"/>
      <c r="D111" s="21"/>
      <c r="E111" s="21"/>
      <c r="F111" s="20"/>
      <c r="G111" s="22"/>
      <c r="H111" s="23" t="str">
        <f aca="false">IF(G111="","",$F$2+G111/24)</f>
        <v/>
      </c>
      <c r="I111" s="22"/>
      <c r="J111" s="23" t="str">
        <f aca="false">IF(OR(G111="",I111=""),"",$F$2+(G111+I111)/24)</f>
        <v/>
      </c>
      <c r="K111" s="20"/>
      <c r="L111" s="20"/>
      <c r="M111" s="20"/>
      <c r="N111" s="20"/>
      <c r="O111" s="21"/>
      <c r="P111" s="21"/>
      <c r="Q111" s="20"/>
      <c r="R111" s="20"/>
      <c r="S111" s="20"/>
    </row>
    <row r="112" customFormat="false" ht="15" hidden="false" customHeight="false" outlineLevel="0" collapsed="false">
      <c r="A112" s="20"/>
      <c r="B112" s="20"/>
      <c r="C112" s="21"/>
      <c r="D112" s="21"/>
      <c r="E112" s="21"/>
      <c r="F112" s="20"/>
      <c r="G112" s="22"/>
      <c r="H112" s="23" t="str">
        <f aca="false">IF(G112="","",$F$2+G112/24)</f>
        <v/>
      </c>
      <c r="I112" s="22"/>
      <c r="J112" s="23" t="str">
        <f aca="false">IF(OR(G112="",I112=""),"",$F$2+(G112+I112)/24)</f>
        <v/>
      </c>
      <c r="K112" s="20"/>
      <c r="L112" s="20"/>
      <c r="M112" s="20"/>
      <c r="N112" s="20"/>
      <c r="O112" s="21"/>
      <c r="P112" s="21"/>
      <c r="Q112" s="20"/>
      <c r="R112" s="20"/>
      <c r="S112" s="20"/>
    </row>
    <row r="113" customFormat="false" ht="15" hidden="false" customHeight="false" outlineLevel="0" collapsed="false">
      <c r="A113" s="20"/>
      <c r="B113" s="20"/>
      <c r="C113" s="21"/>
      <c r="D113" s="21"/>
      <c r="E113" s="21"/>
      <c r="F113" s="20"/>
      <c r="G113" s="22"/>
      <c r="H113" s="23" t="str">
        <f aca="false">IF(G113="","",$F$2+G113/24)</f>
        <v/>
      </c>
      <c r="I113" s="22"/>
      <c r="J113" s="23" t="str">
        <f aca="false">IF(OR(G113="",I113=""),"",$F$2+(G113+I113)/24)</f>
        <v/>
      </c>
      <c r="K113" s="20"/>
      <c r="L113" s="20"/>
      <c r="M113" s="20"/>
      <c r="N113" s="20"/>
      <c r="O113" s="21"/>
      <c r="P113" s="21"/>
      <c r="Q113" s="20"/>
      <c r="R113" s="20"/>
      <c r="S113" s="20"/>
    </row>
    <row r="114" customFormat="false" ht="15" hidden="false" customHeight="false" outlineLevel="0" collapsed="false">
      <c r="A114" s="20"/>
      <c r="B114" s="20"/>
      <c r="C114" s="21"/>
      <c r="D114" s="21"/>
      <c r="E114" s="21"/>
      <c r="F114" s="20"/>
      <c r="G114" s="22"/>
      <c r="H114" s="23" t="str">
        <f aca="false">IF(G114="","",$F$2+G114/24)</f>
        <v/>
      </c>
      <c r="I114" s="22"/>
      <c r="J114" s="23" t="str">
        <f aca="false">IF(OR(G114="",I114=""),"",$F$2+(G114+I114)/24)</f>
        <v/>
      </c>
      <c r="K114" s="20"/>
      <c r="L114" s="20"/>
      <c r="M114" s="20"/>
      <c r="N114" s="20"/>
      <c r="O114" s="21"/>
      <c r="P114" s="21"/>
      <c r="Q114" s="20"/>
      <c r="R114" s="20"/>
      <c r="S114" s="20"/>
    </row>
    <row r="115" customFormat="false" ht="15" hidden="false" customHeight="false" outlineLevel="0" collapsed="false">
      <c r="A115" s="20"/>
      <c r="B115" s="20"/>
      <c r="C115" s="21"/>
      <c r="D115" s="21"/>
      <c r="E115" s="21"/>
      <c r="F115" s="20"/>
      <c r="G115" s="22"/>
      <c r="H115" s="23" t="str">
        <f aca="false">IF(G115="","",$F$2+G115/24)</f>
        <v/>
      </c>
      <c r="I115" s="22"/>
      <c r="J115" s="23" t="str">
        <f aca="false">IF(OR(G115="",I115=""),"",$F$2+(G115+I115)/24)</f>
        <v/>
      </c>
      <c r="K115" s="20"/>
      <c r="L115" s="20"/>
      <c r="M115" s="20"/>
      <c r="N115" s="20"/>
      <c r="O115" s="21"/>
      <c r="P115" s="21"/>
      <c r="Q115" s="20"/>
      <c r="R115" s="20"/>
      <c r="S115" s="20"/>
    </row>
    <row r="116" customFormat="false" ht="15" hidden="false" customHeight="false" outlineLevel="0" collapsed="false">
      <c r="A116" s="20"/>
      <c r="B116" s="20"/>
      <c r="C116" s="21"/>
      <c r="D116" s="21"/>
      <c r="E116" s="21"/>
      <c r="F116" s="20"/>
      <c r="G116" s="22"/>
      <c r="H116" s="23" t="str">
        <f aca="false">IF(G116="","",$F$2+G116/24)</f>
        <v/>
      </c>
      <c r="I116" s="22"/>
      <c r="J116" s="23" t="str">
        <f aca="false">IF(OR(G116="",I116=""),"",$F$2+(G116+I116)/24)</f>
        <v/>
      </c>
      <c r="K116" s="20"/>
      <c r="L116" s="20"/>
      <c r="M116" s="20"/>
      <c r="N116" s="20"/>
      <c r="O116" s="21"/>
      <c r="P116" s="21"/>
      <c r="Q116" s="20"/>
      <c r="R116" s="20"/>
      <c r="S116" s="20"/>
    </row>
    <row r="117" customFormat="false" ht="15" hidden="false" customHeight="false" outlineLevel="0" collapsed="false">
      <c r="A117" s="20"/>
      <c r="B117" s="20"/>
      <c r="C117" s="21"/>
      <c r="D117" s="21"/>
      <c r="E117" s="21"/>
      <c r="F117" s="20"/>
      <c r="G117" s="22"/>
      <c r="H117" s="23" t="str">
        <f aca="false">IF(G117="","",$F$2+G117/24)</f>
        <v/>
      </c>
      <c r="I117" s="22"/>
      <c r="J117" s="23" t="str">
        <f aca="false">IF(OR(G117="",I117=""),"",$F$2+(G117+I117)/24)</f>
        <v/>
      </c>
      <c r="K117" s="20"/>
      <c r="L117" s="20"/>
      <c r="M117" s="20"/>
      <c r="N117" s="20"/>
      <c r="O117" s="21"/>
      <c r="P117" s="21"/>
      <c r="Q117" s="20"/>
      <c r="R117" s="20"/>
      <c r="S117" s="20"/>
    </row>
    <row r="118" customFormat="false" ht="15" hidden="false" customHeight="false" outlineLevel="0" collapsed="false">
      <c r="A118" s="20"/>
      <c r="B118" s="20"/>
      <c r="C118" s="21"/>
      <c r="D118" s="21"/>
      <c r="E118" s="21"/>
      <c r="F118" s="20"/>
      <c r="G118" s="22"/>
      <c r="H118" s="23" t="str">
        <f aca="false">IF(G118="","",$F$2+G118/24)</f>
        <v/>
      </c>
      <c r="I118" s="22"/>
      <c r="J118" s="23" t="str">
        <f aca="false">IF(OR(G118="",I118=""),"",$F$2+(G118+I118)/24)</f>
        <v/>
      </c>
      <c r="K118" s="20"/>
      <c r="L118" s="20"/>
      <c r="M118" s="20"/>
      <c r="N118" s="20"/>
      <c r="O118" s="21"/>
      <c r="P118" s="21"/>
      <c r="Q118" s="20"/>
      <c r="R118" s="20"/>
      <c r="S118" s="20"/>
    </row>
    <row r="119" customFormat="false" ht="15" hidden="false" customHeight="false" outlineLevel="0" collapsed="false">
      <c r="A119" s="20"/>
      <c r="B119" s="20"/>
      <c r="C119" s="21"/>
      <c r="D119" s="21"/>
      <c r="E119" s="21"/>
      <c r="F119" s="20"/>
      <c r="G119" s="22"/>
      <c r="H119" s="23" t="str">
        <f aca="false">IF(G119="","",$F$2+G119/24)</f>
        <v/>
      </c>
      <c r="I119" s="22"/>
      <c r="J119" s="23" t="str">
        <f aca="false">IF(OR(G119="",I119=""),"",$F$2+(G119+I119)/24)</f>
        <v/>
      </c>
      <c r="K119" s="20"/>
      <c r="L119" s="20"/>
      <c r="M119" s="20"/>
      <c r="N119" s="20"/>
      <c r="O119" s="21"/>
      <c r="P119" s="21"/>
      <c r="Q119" s="20"/>
      <c r="R119" s="20"/>
      <c r="S119" s="20"/>
    </row>
    <row r="120" customFormat="false" ht="15" hidden="false" customHeight="false" outlineLevel="0" collapsed="false">
      <c r="A120" s="20"/>
      <c r="B120" s="20"/>
      <c r="C120" s="21"/>
      <c r="D120" s="21"/>
      <c r="E120" s="21"/>
      <c r="F120" s="20"/>
      <c r="G120" s="22"/>
      <c r="H120" s="23" t="str">
        <f aca="false">IF(G120="","",$F$2+G120/24)</f>
        <v/>
      </c>
      <c r="I120" s="22"/>
      <c r="J120" s="23" t="str">
        <f aca="false">IF(OR(G120="",I120=""),"",$F$2+(G120+I120)/24)</f>
        <v/>
      </c>
      <c r="K120" s="20"/>
      <c r="L120" s="20"/>
      <c r="M120" s="20"/>
      <c r="N120" s="20"/>
      <c r="O120" s="21"/>
      <c r="P120" s="21"/>
      <c r="Q120" s="20"/>
      <c r="R120" s="20"/>
      <c r="S120" s="20"/>
    </row>
    <row r="121" customFormat="false" ht="15" hidden="false" customHeight="false" outlineLevel="0" collapsed="false">
      <c r="A121" s="20"/>
      <c r="B121" s="20"/>
      <c r="C121" s="21"/>
      <c r="D121" s="21"/>
      <c r="E121" s="21"/>
      <c r="F121" s="20"/>
      <c r="G121" s="22"/>
      <c r="H121" s="23" t="str">
        <f aca="false">IF(G121="","",$F$2+G121/24)</f>
        <v/>
      </c>
      <c r="I121" s="22"/>
      <c r="J121" s="23" t="str">
        <f aca="false">IF(OR(G121="",I121=""),"",$F$2+(G121+I121)/24)</f>
        <v/>
      </c>
      <c r="K121" s="20"/>
      <c r="L121" s="20"/>
      <c r="M121" s="20"/>
      <c r="N121" s="20"/>
      <c r="O121" s="21"/>
      <c r="P121" s="21"/>
      <c r="Q121" s="20"/>
      <c r="R121" s="20"/>
      <c r="S121" s="20"/>
    </row>
    <row r="122" customFormat="false" ht="15" hidden="false" customHeight="false" outlineLevel="0" collapsed="false">
      <c r="A122" s="20"/>
      <c r="B122" s="20"/>
      <c r="C122" s="21"/>
      <c r="D122" s="21"/>
      <c r="E122" s="21"/>
      <c r="F122" s="20"/>
      <c r="G122" s="22"/>
      <c r="H122" s="23" t="str">
        <f aca="false">IF(G122="","",$F$2+G122/24)</f>
        <v/>
      </c>
      <c r="I122" s="22"/>
      <c r="J122" s="23" t="str">
        <f aca="false">IF(OR(G122="",I122=""),"",$F$2+(G122+I122)/24)</f>
        <v/>
      </c>
      <c r="K122" s="20"/>
      <c r="L122" s="20"/>
      <c r="M122" s="20"/>
      <c r="N122" s="20"/>
      <c r="O122" s="21"/>
      <c r="P122" s="21"/>
      <c r="Q122" s="20"/>
      <c r="R122" s="20"/>
      <c r="S122" s="20"/>
    </row>
    <row r="123" customFormat="false" ht="15" hidden="false" customHeight="false" outlineLevel="0" collapsed="false">
      <c r="A123" s="20"/>
      <c r="B123" s="20"/>
      <c r="C123" s="21"/>
      <c r="D123" s="21"/>
      <c r="E123" s="21"/>
      <c r="F123" s="20"/>
      <c r="G123" s="22"/>
      <c r="H123" s="23" t="str">
        <f aca="false">IF(G123="","",$F$2+G123/24)</f>
        <v/>
      </c>
      <c r="I123" s="22"/>
      <c r="J123" s="23" t="str">
        <f aca="false">IF(OR(G123="",I123=""),"",$F$2+(G123+I123)/24)</f>
        <v/>
      </c>
      <c r="K123" s="20"/>
      <c r="L123" s="20"/>
      <c r="M123" s="20"/>
      <c r="N123" s="20"/>
      <c r="O123" s="21"/>
      <c r="P123" s="21"/>
      <c r="Q123" s="20"/>
      <c r="R123" s="20"/>
      <c r="S123" s="20"/>
    </row>
    <row r="124" customFormat="false" ht="15" hidden="false" customHeight="false" outlineLevel="0" collapsed="false">
      <c r="A124" s="20"/>
      <c r="B124" s="20"/>
      <c r="C124" s="21"/>
      <c r="D124" s="21"/>
      <c r="E124" s="21"/>
      <c r="F124" s="20"/>
      <c r="G124" s="22"/>
      <c r="H124" s="23" t="str">
        <f aca="false">IF(G124="","",$F$2+G124/24)</f>
        <v/>
      </c>
      <c r="I124" s="22"/>
      <c r="J124" s="23" t="str">
        <f aca="false">IF(OR(G124="",I124=""),"",$F$2+(G124+I124)/24)</f>
        <v/>
      </c>
      <c r="K124" s="20"/>
      <c r="L124" s="20"/>
      <c r="M124" s="20"/>
      <c r="N124" s="20"/>
      <c r="O124" s="21"/>
      <c r="P124" s="21"/>
      <c r="Q124" s="20"/>
      <c r="R124" s="20"/>
      <c r="S124" s="20"/>
    </row>
    <row r="125" customFormat="false" ht="15" hidden="false" customHeight="false" outlineLevel="0" collapsed="false">
      <c r="A125" s="20"/>
      <c r="B125" s="20"/>
      <c r="C125" s="21"/>
      <c r="D125" s="21"/>
      <c r="E125" s="21"/>
      <c r="F125" s="20"/>
      <c r="G125" s="22"/>
      <c r="H125" s="23" t="str">
        <f aca="false">IF(G125="","",$F$2+G125/24)</f>
        <v/>
      </c>
      <c r="I125" s="22"/>
      <c r="J125" s="23" t="str">
        <f aca="false">IF(OR(G125="",I125=""),"",$F$2+(G125+I125)/24)</f>
        <v/>
      </c>
      <c r="K125" s="20"/>
      <c r="L125" s="20"/>
      <c r="M125" s="20"/>
      <c r="N125" s="20"/>
      <c r="O125" s="21"/>
      <c r="P125" s="21"/>
      <c r="Q125" s="20"/>
      <c r="R125" s="20"/>
      <c r="S125" s="20"/>
    </row>
    <row r="126" customFormat="false" ht="15" hidden="false" customHeight="false" outlineLevel="0" collapsed="false">
      <c r="A126" s="20"/>
      <c r="B126" s="20"/>
      <c r="C126" s="21"/>
      <c r="D126" s="21"/>
      <c r="E126" s="21"/>
      <c r="F126" s="20"/>
      <c r="G126" s="22"/>
      <c r="H126" s="23" t="str">
        <f aca="false">IF(G126="","",$F$2+G126/24)</f>
        <v/>
      </c>
      <c r="I126" s="22"/>
      <c r="J126" s="23" t="str">
        <f aca="false">IF(OR(G126="",I126=""),"",$F$2+(G126+I126)/24)</f>
        <v/>
      </c>
      <c r="K126" s="20"/>
      <c r="L126" s="20"/>
      <c r="M126" s="20"/>
      <c r="N126" s="20"/>
      <c r="O126" s="21"/>
      <c r="P126" s="21"/>
      <c r="Q126" s="20"/>
      <c r="R126" s="20"/>
      <c r="S126" s="20"/>
    </row>
    <row r="127" customFormat="false" ht="15" hidden="false" customHeight="false" outlineLevel="0" collapsed="false">
      <c r="A127" s="20"/>
      <c r="B127" s="20"/>
      <c r="C127" s="21"/>
      <c r="D127" s="21"/>
      <c r="E127" s="21"/>
      <c r="F127" s="20"/>
      <c r="G127" s="22"/>
      <c r="H127" s="23" t="str">
        <f aca="false">IF(G127="","",$F$2+G127/24)</f>
        <v/>
      </c>
      <c r="I127" s="22"/>
      <c r="J127" s="23" t="str">
        <f aca="false">IF(OR(G127="",I127=""),"",$F$2+(G127+I127)/24)</f>
        <v/>
      </c>
      <c r="K127" s="20"/>
      <c r="L127" s="20"/>
      <c r="M127" s="20"/>
      <c r="N127" s="20"/>
      <c r="O127" s="21"/>
      <c r="P127" s="21"/>
      <c r="Q127" s="20"/>
      <c r="R127" s="20"/>
      <c r="S127" s="20"/>
    </row>
    <row r="128" customFormat="false" ht="15" hidden="false" customHeight="false" outlineLevel="0" collapsed="false">
      <c r="A128" s="20"/>
      <c r="B128" s="20"/>
      <c r="C128" s="21"/>
      <c r="D128" s="21"/>
      <c r="E128" s="21"/>
      <c r="F128" s="20"/>
      <c r="G128" s="22"/>
      <c r="H128" s="23" t="str">
        <f aca="false">IF(G128="","",$F$2+G128/24)</f>
        <v/>
      </c>
      <c r="I128" s="22"/>
      <c r="J128" s="23" t="str">
        <f aca="false">IF(OR(G128="",I128=""),"",$F$2+(G128+I128)/24)</f>
        <v/>
      </c>
      <c r="K128" s="20"/>
      <c r="L128" s="20"/>
      <c r="M128" s="20"/>
      <c r="N128" s="20"/>
      <c r="O128" s="21"/>
      <c r="P128" s="21"/>
      <c r="Q128" s="20"/>
      <c r="R128" s="20"/>
      <c r="S128" s="20"/>
    </row>
    <row r="129" customFormat="false" ht="15" hidden="false" customHeight="false" outlineLevel="0" collapsed="false">
      <c r="A129" s="20"/>
      <c r="B129" s="20"/>
      <c r="C129" s="21"/>
      <c r="D129" s="21"/>
      <c r="E129" s="21"/>
      <c r="F129" s="20"/>
      <c r="G129" s="22"/>
      <c r="H129" s="23" t="str">
        <f aca="false">IF(G129="","",$F$2+G129/24)</f>
        <v/>
      </c>
      <c r="I129" s="22"/>
      <c r="J129" s="23" t="str">
        <f aca="false">IF(OR(G129="",I129=""),"",$F$2+(G129+I129)/24)</f>
        <v/>
      </c>
      <c r="K129" s="20"/>
      <c r="L129" s="20"/>
      <c r="M129" s="20"/>
      <c r="N129" s="20"/>
      <c r="O129" s="21"/>
      <c r="P129" s="21"/>
      <c r="Q129" s="20"/>
      <c r="R129" s="20"/>
      <c r="S129" s="20"/>
    </row>
    <row r="130" customFormat="false" ht="15" hidden="false" customHeight="false" outlineLevel="0" collapsed="false">
      <c r="A130" s="20"/>
      <c r="B130" s="20"/>
      <c r="C130" s="21"/>
      <c r="D130" s="21"/>
      <c r="E130" s="21"/>
      <c r="F130" s="20"/>
      <c r="G130" s="22"/>
      <c r="H130" s="23" t="str">
        <f aca="false">IF(G130="","",$F$2+G130/24)</f>
        <v/>
      </c>
      <c r="I130" s="22"/>
      <c r="J130" s="23" t="str">
        <f aca="false">IF(OR(G130="",I130=""),"",$F$2+(G130+I130)/24)</f>
        <v/>
      </c>
      <c r="K130" s="20"/>
      <c r="L130" s="20"/>
      <c r="M130" s="20"/>
      <c r="N130" s="20"/>
      <c r="O130" s="21"/>
      <c r="P130" s="21"/>
      <c r="Q130" s="20"/>
      <c r="R130" s="20"/>
      <c r="S130" s="20"/>
    </row>
    <row r="131" customFormat="false" ht="15" hidden="false" customHeight="false" outlineLevel="0" collapsed="false">
      <c r="A131" s="20"/>
      <c r="B131" s="20"/>
      <c r="C131" s="21"/>
      <c r="D131" s="21"/>
      <c r="E131" s="21"/>
      <c r="F131" s="20"/>
      <c r="G131" s="22"/>
      <c r="H131" s="23" t="str">
        <f aca="false">IF(G131="","",$F$2+G131/24)</f>
        <v/>
      </c>
      <c r="I131" s="22"/>
      <c r="J131" s="23" t="str">
        <f aca="false">IF(OR(G131="",I131=""),"",$F$2+(G131+I131)/24)</f>
        <v/>
      </c>
      <c r="K131" s="20"/>
      <c r="L131" s="20"/>
      <c r="M131" s="20"/>
      <c r="N131" s="20"/>
      <c r="O131" s="21"/>
      <c r="P131" s="21"/>
      <c r="Q131" s="20"/>
      <c r="R131" s="20"/>
      <c r="S131" s="20"/>
    </row>
    <row r="132" customFormat="false" ht="15" hidden="false" customHeight="false" outlineLevel="0" collapsed="false">
      <c r="A132" s="20"/>
      <c r="B132" s="20"/>
      <c r="C132" s="21"/>
      <c r="D132" s="21"/>
      <c r="E132" s="21"/>
      <c r="F132" s="20"/>
      <c r="G132" s="22"/>
      <c r="H132" s="23" t="str">
        <f aca="false">IF(G132="","",$F$2+G132/24)</f>
        <v/>
      </c>
      <c r="I132" s="22"/>
      <c r="J132" s="23" t="str">
        <f aca="false">IF(OR(G132="",I132=""),"",$F$2+(G132+I132)/24)</f>
        <v/>
      </c>
      <c r="K132" s="20"/>
      <c r="L132" s="20"/>
      <c r="M132" s="20"/>
      <c r="N132" s="20"/>
      <c r="O132" s="21"/>
      <c r="P132" s="21"/>
      <c r="Q132" s="20"/>
      <c r="R132" s="20"/>
      <c r="S132" s="20"/>
    </row>
    <row r="133" customFormat="false" ht="15" hidden="false" customHeight="false" outlineLevel="0" collapsed="false">
      <c r="A133" s="20"/>
      <c r="B133" s="20"/>
      <c r="C133" s="21"/>
      <c r="D133" s="21"/>
      <c r="E133" s="21"/>
      <c r="F133" s="20"/>
      <c r="G133" s="22"/>
      <c r="H133" s="23" t="str">
        <f aca="false">IF(G133="","",$F$2+G133/24)</f>
        <v/>
      </c>
      <c r="I133" s="22"/>
      <c r="J133" s="23" t="str">
        <f aca="false">IF(OR(G133="",I133=""),"",$F$2+(G133+I133)/24)</f>
        <v/>
      </c>
      <c r="K133" s="20"/>
      <c r="L133" s="20"/>
      <c r="M133" s="20"/>
      <c r="N133" s="20"/>
      <c r="O133" s="21"/>
      <c r="P133" s="21"/>
      <c r="Q133" s="20"/>
      <c r="R133" s="20"/>
      <c r="S133" s="20"/>
    </row>
    <row r="134" customFormat="false" ht="15" hidden="false" customHeight="false" outlineLevel="0" collapsed="false">
      <c r="A134" s="20"/>
      <c r="B134" s="20"/>
      <c r="C134" s="21"/>
      <c r="D134" s="21"/>
      <c r="E134" s="21"/>
      <c r="F134" s="20"/>
      <c r="G134" s="22"/>
      <c r="H134" s="23" t="str">
        <f aca="false">IF(G134="","",$F$2+G134/24)</f>
        <v/>
      </c>
      <c r="I134" s="22"/>
      <c r="J134" s="23" t="str">
        <f aca="false">IF(OR(G134="",I134=""),"",$F$2+(G134+I134)/24)</f>
        <v/>
      </c>
      <c r="K134" s="20"/>
      <c r="L134" s="20"/>
      <c r="M134" s="20"/>
      <c r="N134" s="20"/>
      <c r="O134" s="21"/>
      <c r="P134" s="21"/>
      <c r="Q134" s="20"/>
      <c r="R134" s="20"/>
      <c r="S134" s="20"/>
    </row>
    <row r="135" customFormat="false" ht="15" hidden="false" customHeight="false" outlineLevel="0" collapsed="false">
      <c r="A135" s="20"/>
      <c r="B135" s="20"/>
      <c r="C135" s="21"/>
      <c r="D135" s="21"/>
      <c r="E135" s="21"/>
      <c r="F135" s="20"/>
      <c r="G135" s="22"/>
      <c r="H135" s="23" t="str">
        <f aca="false">IF(G135="","",$F$2+G135/24)</f>
        <v/>
      </c>
      <c r="I135" s="22"/>
      <c r="J135" s="23" t="str">
        <f aca="false">IF(OR(G135="",I135=""),"",$F$2+(G135+I135)/24)</f>
        <v/>
      </c>
      <c r="K135" s="20"/>
      <c r="L135" s="20"/>
      <c r="M135" s="20"/>
      <c r="N135" s="20"/>
      <c r="O135" s="21"/>
      <c r="P135" s="21"/>
      <c r="Q135" s="20"/>
      <c r="R135" s="20"/>
      <c r="S135" s="20"/>
    </row>
    <row r="136" customFormat="false" ht="15" hidden="false" customHeight="false" outlineLevel="0" collapsed="false">
      <c r="A136" s="20"/>
      <c r="B136" s="20"/>
      <c r="C136" s="21"/>
      <c r="D136" s="21"/>
      <c r="E136" s="21"/>
      <c r="F136" s="20"/>
      <c r="G136" s="22"/>
      <c r="H136" s="23" t="str">
        <f aca="false">IF(G136="","",$F$2+G136/24)</f>
        <v/>
      </c>
      <c r="I136" s="22"/>
      <c r="J136" s="23" t="str">
        <f aca="false">IF(OR(G136="",I136=""),"",$F$2+(G136+I136)/24)</f>
        <v/>
      </c>
      <c r="K136" s="20"/>
      <c r="L136" s="20"/>
      <c r="M136" s="20"/>
      <c r="N136" s="20"/>
      <c r="O136" s="21"/>
      <c r="P136" s="21"/>
      <c r="Q136" s="20"/>
      <c r="R136" s="20"/>
      <c r="S136" s="20"/>
    </row>
    <row r="137" customFormat="false" ht="15" hidden="false" customHeight="false" outlineLevel="0" collapsed="false">
      <c r="A137" s="20"/>
      <c r="B137" s="20"/>
      <c r="C137" s="21"/>
      <c r="D137" s="21"/>
      <c r="E137" s="21"/>
      <c r="F137" s="20"/>
      <c r="G137" s="22"/>
      <c r="H137" s="23" t="str">
        <f aca="false">IF(G137="","",$F$2+G137/24)</f>
        <v/>
      </c>
      <c r="I137" s="22"/>
      <c r="J137" s="23" t="str">
        <f aca="false">IF(OR(G137="",I137=""),"",$F$2+(G137+I137)/24)</f>
        <v/>
      </c>
      <c r="K137" s="20"/>
      <c r="L137" s="20"/>
      <c r="M137" s="20"/>
      <c r="N137" s="20"/>
      <c r="O137" s="21"/>
      <c r="P137" s="21"/>
      <c r="Q137" s="20"/>
      <c r="R137" s="20"/>
      <c r="S137" s="20"/>
    </row>
    <row r="138" customFormat="false" ht="15" hidden="false" customHeight="false" outlineLevel="0" collapsed="false">
      <c r="A138" s="20"/>
      <c r="B138" s="20"/>
      <c r="C138" s="21"/>
      <c r="D138" s="21"/>
      <c r="E138" s="21"/>
      <c r="F138" s="20"/>
      <c r="G138" s="22"/>
      <c r="H138" s="23" t="str">
        <f aca="false">IF(G138="","",$F$2+G138/24)</f>
        <v/>
      </c>
      <c r="I138" s="22"/>
      <c r="J138" s="23" t="str">
        <f aca="false">IF(OR(G138="",I138=""),"",$F$2+(G138+I138)/24)</f>
        <v/>
      </c>
      <c r="K138" s="20"/>
      <c r="L138" s="20"/>
      <c r="M138" s="20"/>
      <c r="N138" s="20"/>
      <c r="O138" s="21"/>
      <c r="P138" s="21"/>
      <c r="Q138" s="20"/>
      <c r="R138" s="20"/>
      <c r="S138" s="20"/>
    </row>
    <row r="139" customFormat="false" ht="15" hidden="false" customHeight="false" outlineLevel="0" collapsed="false">
      <c r="A139" s="20"/>
      <c r="B139" s="20"/>
      <c r="C139" s="21"/>
      <c r="D139" s="21"/>
      <c r="E139" s="21"/>
      <c r="F139" s="20"/>
      <c r="G139" s="22"/>
      <c r="H139" s="23" t="str">
        <f aca="false">IF(G139="","",$F$2+G139/24)</f>
        <v/>
      </c>
      <c r="I139" s="22"/>
      <c r="J139" s="23" t="str">
        <f aca="false">IF(OR(G139="",I139=""),"",$F$2+(G139+I139)/24)</f>
        <v/>
      </c>
      <c r="K139" s="20"/>
      <c r="L139" s="20"/>
      <c r="M139" s="20"/>
      <c r="N139" s="20"/>
      <c r="O139" s="21"/>
      <c r="P139" s="21"/>
      <c r="Q139" s="20"/>
      <c r="R139" s="20"/>
      <c r="S139" s="20"/>
    </row>
    <row r="140" customFormat="false" ht="15" hidden="false" customHeight="false" outlineLevel="0" collapsed="false">
      <c r="A140" s="20"/>
      <c r="B140" s="20"/>
      <c r="C140" s="21"/>
      <c r="D140" s="21"/>
      <c r="E140" s="21"/>
      <c r="F140" s="20"/>
      <c r="G140" s="22"/>
      <c r="H140" s="23" t="str">
        <f aca="false">IF(G140="","",$F$2+G140/24)</f>
        <v/>
      </c>
      <c r="I140" s="22"/>
      <c r="J140" s="23" t="str">
        <f aca="false">IF(OR(G140="",I140=""),"",$F$2+(G140+I140)/24)</f>
        <v/>
      </c>
      <c r="K140" s="20"/>
      <c r="L140" s="20"/>
      <c r="M140" s="20"/>
      <c r="N140" s="20"/>
      <c r="O140" s="21"/>
      <c r="P140" s="21"/>
      <c r="Q140" s="20"/>
      <c r="R140" s="20"/>
      <c r="S140" s="20"/>
    </row>
    <row r="141" customFormat="false" ht="15" hidden="false" customHeight="false" outlineLevel="0" collapsed="false">
      <c r="A141" s="20"/>
      <c r="B141" s="20"/>
      <c r="C141" s="21"/>
      <c r="D141" s="21"/>
      <c r="E141" s="21"/>
      <c r="F141" s="20"/>
      <c r="G141" s="22"/>
      <c r="H141" s="23" t="str">
        <f aca="false">IF(G141="","",$F$2+G141/24)</f>
        <v/>
      </c>
      <c r="I141" s="22"/>
      <c r="J141" s="23" t="str">
        <f aca="false">IF(OR(G141="",I141=""),"",$F$2+(G141+I141)/24)</f>
        <v/>
      </c>
      <c r="K141" s="20"/>
      <c r="L141" s="20"/>
      <c r="M141" s="20"/>
      <c r="N141" s="20"/>
      <c r="O141" s="21"/>
      <c r="P141" s="21"/>
      <c r="Q141" s="20"/>
      <c r="R141" s="20"/>
      <c r="S141" s="20"/>
    </row>
    <row r="142" customFormat="false" ht="15" hidden="false" customHeight="false" outlineLevel="0" collapsed="false">
      <c r="A142" s="20"/>
      <c r="B142" s="20"/>
      <c r="C142" s="21"/>
      <c r="D142" s="21"/>
      <c r="E142" s="21"/>
      <c r="F142" s="20"/>
      <c r="G142" s="22"/>
      <c r="H142" s="23" t="str">
        <f aca="false">IF(G142="","",$F$2+G142/24)</f>
        <v/>
      </c>
      <c r="I142" s="22"/>
      <c r="J142" s="23" t="str">
        <f aca="false">IF(OR(G142="",I142=""),"",$F$2+(G142+I142)/24)</f>
        <v/>
      </c>
      <c r="K142" s="20"/>
      <c r="L142" s="20"/>
      <c r="M142" s="20"/>
      <c r="N142" s="20"/>
      <c r="O142" s="21"/>
      <c r="P142" s="21"/>
      <c r="Q142" s="20"/>
      <c r="R142" s="20"/>
      <c r="S142" s="20"/>
    </row>
    <row r="143" customFormat="false" ht="15" hidden="false" customHeight="false" outlineLevel="0" collapsed="false">
      <c r="A143" s="20"/>
      <c r="B143" s="20"/>
      <c r="C143" s="21"/>
      <c r="D143" s="21"/>
      <c r="E143" s="21"/>
      <c r="F143" s="20"/>
      <c r="G143" s="22"/>
      <c r="H143" s="23" t="str">
        <f aca="false">IF(G143="","",$F$2+G143/24)</f>
        <v/>
      </c>
      <c r="I143" s="22"/>
      <c r="J143" s="23" t="str">
        <f aca="false">IF(OR(G143="",I143=""),"",$F$2+(G143+I143)/24)</f>
        <v/>
      </c>
      <c r="K143" s="20"/>
      <c r="L143" s="20"/>
      <c r="M143" s="20"/>
      <c r="N143" s="20"/>
      <c r="O143" s="21"/>
      <c r="P143" s="21"/>
      <c r="Q143" s="20"/>
      <c r="R143" s="20"/>
      <c r="S143" s="20"/>
    </row>
    <row r="144" customFormat="false" ht="15" hidden="false" customHeight="false" outlineLevel="0" collapsed="false">
      <c r="A144" s="20"/>
      <c r="B144" s="20"/>
      <c r="C144" s="21"/>
      <c r="D144" s="21"/>
      <c r="E144" s="21"/>
      <c r="F144" s="20"/>
      <c r="G144" s="22"/>
      <c r="H144" s="23" t="str">
        <f aca="false">IF(G144="","",$F$2+G144/24)</f>
        <v/>
      </c>
      <c r="I144" s="22"/>
      <c r="J144" s="23" t="str">
        <f aca="false">IF(OR(G144="",I144=""),"",$F$2+(G144+I144)/24)</f>
        <v/>
      </c>
      <c r="K144" s="20"/>
      <c r="L144" s="20"/>
      <c r="M144" s="20"/>
      <c r="N144" s="20"/>
      <c r="O144" s="21"/>
      <c r="P144" s="21"/>
      <c r="Q144" s="20"/>
      <c r="R144" s="20"/>
      <c r="S144" s="20"/>
    </row>
    <row r="145" customFormat="false" ht="15" hidden="false" customHeight="false" outlineLevel="0" collapsed="false">
      <c r="A145" s="20"/>
      <c r="B145" s="20"/>
      <c r="C145" s="21"/>
      <c r="D145" s="21"/>
      <c r="E145" s="21"/>
      <c r="F145" s="20"/>
      <c r="G145" s="22"/>
      <c r="H145" s="23" t="str">
        <f aca="false">IF(G145="","",$F$2+G145/24)</f>
        <v/>
      </c>
      <c r="I145" s="22"/>
      <c r="J145" s="23" t="str">
        <f aca="false">IF(OR(G145="",I145=""),"",$F$2+(G145+I145)/24)</f>
        <v/>
      </c>
      <c r="K145" s="20"/>
      <c r="L145" s="20"/>
      <c r="M145" s="20"/>
      <c r="N145" s="20"/>
      <c r="O145" s="21"/>
      <c r="P145" s="21"/>
      <c r="Q145" s="20"/>
      <c r="R145" s="20"/>
      <c r="S145" s="20"/>
    </row>
    <row r="146" customFormat="false" ht="15" hidden="false" customHeight="false" outlineLevel="0" collapsed="false">
      <c r="A146" s="20"/>
      <c r="B146" s="20"/>
      <c r="C146" s="21"/>
      <c r="D146" s="21"/>
      <c r="E146" s="21"/>
      <c r="F146" s="20"/>
      <c r="G146" s="22"/>
      <c r="H146" s="23" t="str">
        <f aca="false">IF(G146="","",$F$2+G146/24)</f>
        <v/>
      </c>
      <c r="I146" s="22"/>
      <c r="J146" s="23" t="str">
        <f aca="false">IF(OR(G146="",I146=""),"",$F$2+(G146+I146)/24)</f>
        <v/>
      </c>
      <c r="K146" s="20"/>
      <c r="L146" s="20"/>
      <c r="M146" s="20"/>
      <c r="N146" s="20"/>
      <c r="O146" s="21"/>
      <c r="P146" s="21"/>
      <c r="Q146" s="20"/>
      <c r="R146" s="20"/>
      <c r="S146" s="20"/>
    </row>
    <row r="147" customFormat="false" ht="15" hidden="false" customHeight="false" outlineLevel="0" collapsed="false">
      <c r="A147" s="20"/>
      <c r="B147" s="20"/>
      <c r="C147" s="21"/>
      <c r="D147" s="21"/>
      <c r="E147" s="21"/>
      <c r="F147" s="20"/>
      <c r="G147" s="22"/>
      <c r="H147" s="23" t="str">
        <f aca="false">IF(G147="","",$F$2+G147/24)</f>
        <v/>
      </c>
      <c r="I147" s="22"/>
      <c r="J147" s="23" t="str">
        <f aca="false">IF(OR(G147="",I147=""),"",$F$2+(G147+I147)/24)</f>
        <v/>
      </c>
      <c r="K147" s="20"/>
      <c r="L147" s="20"/>
      <c r="M147" s="20"/>
      <c r="N147" s="20"/>
      <c r="O147" s="21"/>
      <c r="P147" s="21"/>
      <c r="Q147" s="20"/>
      <c r="R147" s="20"/>
      <c r="S147" s="20"/>
    </row>
    <row r="148" customFormat="false" ht="15" hidden="false" customHeight="false" outlineLevel="0" collapsed="false">
      <c r="A148" s="20"/>
      <c r="B148" s="20"/>
      <c r="C148" s="21"/>
      <c r="D148" s="21"/>
      <c r="E148" s="21"/>
      <c r="F148" s="20"/>
      <c r="G148" s="22"/>
      <c r="H148" s="23" t="str">
        <f aca="false">IF(G148="","",$F$2+G148/24)</f>
        <v/>
      </c>
      <c r="I148" s="22"/>
      <c r="J148" s="23" t="str">
        <f aca="false">IF(OR(G148="",I148=""),"",$F$2+(G148+I148)/24)</f>
        <v/>
      </c>
      <c r="K148" s="20"/>
      <c r="L148" s="20"/>
      <c r="M148" s="20"/>
      <c r="N148" s="20"/>
      <c r="O148" s="21"/>
      <c r="P148" s="21"/>
      <c r="Q148" s="20"/>
      <c r="R148" s="20"/>
      <c r="S148" s="20"/>
    </row>
    <row r="149" customFormat="false" ht="15" hidden="false" customHeight="false" outlineLevel="0" collapsed="false">
      <c r="A149" s="20"/>
      <c r="B149" s="20"/>
      <c r="C149" s="21"/>
      <c r="D149" s="21"/>
      <c r="E149" s="21"/>
      <c r="F149" s="20"/>
      <c r="G149" s="22"/>
      <c r="H149" s="23" t="str">
        <f aca="false">IF(G149="","",$F$2+G149/24)</f>
        <v/>
      </c>
      <c r="I149" s="22"/>
      <c r="J149" s="23" t="str">
        <f aca="false">IF(OR(G149="",I149=""),"",$F$2+(G149+I149)/24)</f>
        <v/>
      </c>
      <c r="K149" s="20"/>
      <c r="L149" s="20"/>
      <c r="M149" s="20"/>
      <c r="N149" s="20"/>
      <c r="O149" s="21"/>
      <c r="P149" s="21"/>
      <c r="Q149" s="20"/>
      <c r="R149" s="20"/>
      <c r="S149" s="20"/>
    </row>
    <row r="150" customFormat="false" ht="15" hidden="false" customHeight="false" outlineLevel="0" collapsed="false">
      <c r="A150" s="20"/>
      <c r="B150" s="20"/>
      <c r="C150" s="21"/>
      <c r="D150" s="21"/>
      <c r="E150" s="21"/>
      <c r="F150" s="20"/>
      <c r="G150" s="22"/>
      <c r="H150" s="23" t="str">
        <f aca="false">IF(G150="","",$F$2+G150/24)</f>
        <v/>
      </c>
      <c r="I150" s="22"/>
      <c r="J150" s="23" t="str">
        <f aca="false">IF(OR(G150="",I150=""),"",$F$2+(G150+I150)/24)</f>
        <v/>
      </c>
      <c r="K150" s="20"/>
      <c r="L150" s="20"/>
      <c r="M150" s="20"/>
      <c r="N150" s="20"/>
      <c r="O150" s="21"/>
      <c r="P150" s="21"/>
      <c r="Q150" s="20"/>
      <c r="R150" s="20"/>
      <c r="S150" s="20"/>
    </row>
    <row r="151" customFormat="false" ht="15" hidden="false" customHeight="false" outlineLevel="0" collapsed="false">
      <c r="A151" s="20"/>
      <c r="B151" s="20"/>
      <c r="C151" s="21"/>
      <c r="D151" s="21"/>
      <c r="E151" s="21"/>
      <c r="F151" s="20"/>
      <c r="G151" s="22"/>
      <c r="H151" s="23" t="str">
        <f aca="false">IF(G151="","",$F$2+G151/24)</f>
        <v/>
      </c>
      <c r="I151" s="22"/>
      <c r="J151" s="23" t="str">
        <f aca="false">IF(OR(G151="",I151=""),"",$F$2+(G151+I151)/24)</f>
        <v/>
      </c>
      <c r="K151" s="20"/>
      <c r="L151" s="20"/>
      <c r="M151" s="20"/>
      <c r="N151" s="20"/>
      <c r="O151" s="21"/>
      <c r="P151" s="21"/>
      <c r="Q151" s="20"/>
      <c r="R151" s="20"/>
      <c r="S151" s="20"/>
    </row>
    <row r="152" customFormat="false" ht="15" hidden="false" customHeight="false" outlineLevel="0" collapsed="false">
      <c r="A152" s="20"/>
      <c r="B152" s="20"/>
      <c r="C152" s="21"/>
      <c r="D152" s="21"/>
      <c r="E152" s="21"/>
      <c r="F152" s="20"/>
      <c r="G152" s="22"/>
      <c r="H152" s="23" t="str">
        <f aca="false">IF(G152="","",$F$2+G152/24)</f>
        <v/>
      </c>
      <c r="I152" s="22"/>
      <c r="J152" s="23" t="str">
        <f aca="false">IF(OR(G152="",I152=""),"",$F$2+(G152+I152)/24)</f>
        <v/>
      </c>
      <c r="K152" s="20"/>
      <c r="L152" s="20"/>
      <c r="M152" s="20"/>
      <c r="N152" s="20"/>
      <c r="O152" s="21"/>
      <c r="P152" s="21"/>
      <c r="Q152" s="20"/>
      <c r="R152" s="20"/>
      <c r="S152" s="20"/>
    </row>
    <row r="153" customFormat="false" ht="15" hidden="false" customHeight="false" outlineLevel="0" collapsed="false">
      <c r="A153" s="20"/>
      <c r="B153" s="20"/>
      <c r="C153" s="21"/>
      <c r="D153" s="21"/>
      <c r="E153" s="21"/>
      <c r="F153" s="20"/>
      <c r="G153" s="22"/>
      <c r="H153" s="23" t="str">
        <f aca="false">IF(G153="","",$F$2+G153/24)</f>
        <v/>
      </c>
      <c r="I153" s="22"/>
      <c r="J153" s="23" t="str">
        <f aca="false">IF(OR(G153="",I153=""),"",$F$2+(G153+I153)/24)</f>
        <v/>
      </c>
      <c r="K153" s="20"/>
      <c r="L153" s="20"/>
      <c r="M153" s="20"/>
      <c r="N153" s="20"/>
      <c r="O153" s="21"/>
      <c r="P153" s="21"/>
      <c r="Q153" s="20"/>
      <c r="R153" s="20"/>
      <c r="S153" s="20"/>
    </row>
    <row r="154" customFormat="false" ht="15" hidden="false" customHeight="false" outlineLevel="0" collapsed="false">
      <c r="A154" s="20"/>
      <c r="B154" s="20"/>
      <c r="C154" s="21"/>
      <c r="D154" s="21"/>
      <c r="E154" s="21"/>
      <c r="F154" s="20"/>
      <c r="G154" s="22"/>
      <c r="H154" s="23" t="str">
        <f aca="false">IF(G154="","",$F$2+G154/24)</f>
        <v/>
      </c>
      <c r="I154" s="22"/>
      <c r="J154" s="23" t="str">
        <f aca="false">IF(OR(G154="",I154=""),"",$F$2+(G154+I154)/24)</f>
        <v/>
      </c>
      <c r="K154" s="20"/>
      <c r="L154" s="20"/>
      <c r="M154" s="20"/>
      <c r="N154" s="20"/>
      <c r="O154" s="21"/>
      <c r="P154" s="21"/>
      <c r="Q154" s="20"/>
      <c r="R154" s="20"/>
      <c r="S154" s="20"/>
    </row>
    <row r="155" customFormat="false" ht="15" hidden="false" customHeight="false" outlineLevel="0" collapsed="false">
      <c r="A155" s="20"/>
      <c r="B155" s="20"/>
      <c r="C155" s="21"/>
      <c r="D155" s="21"/>
      <c r="E155" s="21"/>
      <c r="F155" s="20"/>
      <c r="G155" s="22"/>
      <c r="H155" s="23" t="str">
        <f aca="false">IF(G155="","",$F$2+G155/24)</f>
        <v/>
      </c>
      <c r="I155" s="22"/>
      <c r="J155" s="23" t="str">
        <f aca="false">IF(OR(G155="",I155=""),"",$F$2+(G155+I155)/24)</f>
        <v/>
      </c>
      <c r="K155" s="20"/>
      <c r="L155" s="20"/>
      <c r="M155" s="20"/>
      <c r="N155" s="20"/>
      <c r="O155" s="21"/>
      <c r="P155" s="21"/>
      <c r="Q155" s="20"/>
      <c r="R155" s="20"/>
      <c r="S155" s="20"/>
    </row>
    <row r="156" customFormat="false" ht="15" hidden="false" customHeight="false" outlineLevel="0" collapsed="false">
      <c r="A156" s="20"/>
      <c r="B156" s="20"/>
      <c r="C156" s="21"/>
      <c r="D156" s="21"/>
      <c r="E156" s="21"/>
      <c r="F156" s="20"/>
      <c r="G156" s="22"/>
      <c r="H156" s="23" t="str">
        <f aca="false">IF(G156="","",$F$2+G156/24)</f>
        <v/>
      </c>
      <c r="I156" s="22"/>
      <c r="J156" s="23" t="str">
        <f aca="false">IF(OR(G156="",I156=""),"",$F$2+(G156+I156)/24)</f>
        <v/>
      </c>
      <c r="K156" s="20"/>
      <c r="L156" s="20"/>
      <c r="M156" s="20"/>
      <c r="N156" s="20"/>
      <c r="O156" s="21"/>
      <c r="P156" s="21"/>
      <c r="Q156" s="20"/>
      <c r="R156" s="20"/>
      <c r="S156" s="20"/>
    </row>
    <row r="157" customFormat="false" ht="15" hidden="false" customHeight="false" outlineLevel="0" collapsed="false">
      <c r="A157" s="20"/>
      <c r="B157" s="20"/>
      <c r="C157" s="21"/>
      <c r="D157" s="21"/>
      <c r="E157" s="21"/>
      <c r="F157" s="20"/>
      <c r="G157" s="22"/>
      <c r="H157" s="23" t="str">
        <f aca="false">IF(G157="","",$F$2+G157/24)</f>
        <v/>
      </c>
      <c r="I157" s="22"/>
      <c r="J157" s="23" t="str">
        <f aca="false">IF(OR(G157="",I157=""),"",$F$2+(G157+I157)/24)</f>
        <v/>
      </c>
      <c r="K157" s="20"/>
      <c r="L157" s="20"/>
      <c r="M157" s="20"/>
      <c r="N157" s="20"/>
      <c r="O157" s="21"/>
      <c r="P157" s="21"/>
      <c r="Q157" s="20"/>
      <c r="R157" s="20"/>
      <c r="S157" s="20"/>
    </row>
    <row r="158" customFormat="false" ht="15" hidden="false" customHeight="false" outlineLevel="0" collapsed="false">
      <c r="A158" s="20"/>
      <c r="B158" s="20"/>
      <c r="C158" s="21"/>
      <c r="D158" s="21"/>
      <c r="E158" s="21"/>
      <c r="F158" s="20"/>
      <c r="G158" s="22"/>
      <c r="H158" s="23" t="str">
        <f aca="false">IF(G158="","",$F$2+G158/24)</f>
        <v/>
      </c>
      <c r="I158" s="22"/>
      <c r="J158" s="23" t="str">
        <f aca="false">IF(OR(G158="",I158=""),"",$F$2+(G158+I158)/24)</f>
        <v/>
      </c>
      <c r="K158" s="20"/>
      <c r="L158" s="20"/>
      <c r="M158" s="20"/>
      <c r="N158" s="20"/>
      <c r="O158" s="21"/>
      <c r="P158" s="21"/>
      <c r="Q158" s="20"/>
      <c r="R158" s="20"/>
      <c r="S158" s="20"/>
    </row>
    <row r="159" customFormat="false" ht="15" hidden="false" customHeight="false" outlineLevel="0" collapsed="false">
      <c r="A159" s="20"/>
      <c r="B159" s="20"/>
      <c r="C159" s="21"/>
      <c r="D159" s="21"/>
      <c r="E159" s="21"/>
      <c r="F159" s="20"/>
      <c r="G159" s="22"/>
      <c r="H159" s="23" t="str">
        <f aca="false">IF(G159="","",$F$2+G159/24)</f>
        <v/>
      </c>
      <c r="I159" s="22"/>
      <c r="J159" s="23" t="str">
        <f aca="false">IF(OR(G159="",I159=""),"",$F$2+(G159+I159)/24)</f>
        <v/>
      </c>
      <c r="K159" s="20"/>
      <c r="L159" s="20"/>
      <c r="M159" s="20"/>
      <c r="N159" s="20"/>
      <c r="O159" s="21"/>
      <c r="P159" s="21"/>
      <c r="Q159" s="20"/>
      <c r="R159" s="20"/>
      <c r="S159" s="20"/>
    </row>
    <row r="160" customFormat="false" ht="15" hidden="false" customHeight="false" outlineLevel="0" collapsed="false">
      <c r="A160" s="20"/>
      <c r="B160" s="20"/>
      <c r="C160" s="21"/>
      <c r="D160" s="21"/>
      <c r="E160" s="21"/>
      <c r="F160" s="20"/>
      <c r="G160" s="22"/>
      <c r="H160" s="23" t="str">
        <f aca="false">IF(G160="","",$F$2+G160/24)</f>
        <v/>
      </c>
      <c r="I160" s="22"/>
      <c r="J160" s="23" t="str">
        <f aca="false">IF(OR(G160="",I160=""),"",$F$2+(G160+I160)/24)</f>
        <v/>
      </c>
      <c r="K160" s="20"/>
      <c r="L160" s="20"/>
      <c r="M160" s="20"/>
      <c r="N160" s="20"/>
      <c r="O160" s="21"/>
      <c r="P160" s="21"/>
      <c r="Q160" s="20"/>
      <c r="R160" s="20"/>
      <c r="S160" s="20"/>
    </row>
    <row r="161" customFormat="false" ht="15" hidden="false" customHeight="false" outlineLevel="0" collapsed="false">
      <c r="A161" s="20"/>
      <c r="B161" s="20"/>
      <c r="C161" s="21"/>
      <c r="D161" s="21"/>
      <c r="E161" s="21"/>
      <c r="F161" s="20"/>
      <c r="G161" s="22"/>
      <c r="H161" s="23" t="str">
        <f aca="false">IF(G161="","",$F$2+G161/24)</f>
        <v/>
      </c>
      <c r="I161" s="22"/>
      <c r="J161" s="23" t="str">
        <f aca="false">IF(OR(G161="",I161=""),"",$F$2+(G161+I161)/24)</f>
        <v/>
      </c>
      <c r="K161" s="20"/>
      <c r="L161" s="20"/>
      <c r="M161" s="20"/>
      <c r="N161" s="20"/>
      <c r="O161" s="21"/>
      <c r="P161" s="21"/>
      <c r="Q161" s="20"/>
      <c r="R161" s="20"/>
      <c r="S161" s="20"/>
    </row>
    <row r="162" customFormat="false" ht="15" hidden="false" customHeight="false" outlineLevel="0" collapsed="false">
      <c r="A162" s="20"/>
      <c r="B162" s="20"/>
      <c r="C162" s="21"/>
      <c r="D162" s="21"/>
      <c r="E162" s="21"/>
      <c r="F162" s="20"/>
      <c r="G162" s="22"/>
      <c r="H162" s="23" t="str">
        <f aca="false">IF(G162="","",$F$2+G162/24)</f>
        <v/>
      </c>
      <c r="I162" s="22"/>
      <c r="J162" s="23" t="str">
        <f aca="false">IF(OR(G162="",I162=""),"",$F$2+(G162+I162)/24)</f>
        <v/>
      </c>
      <c r="K162" s="20"/>
      <c r="L162" s="20"/>
      <c r="M162" s="20"/>
      <c r="N162" s="20"/>
      <c r="O162" s="21"/>
      <c r="P162" s="21"/>
      <c r="Q162" s="20"/>
      <c r="R162" s="20"/>
      <c r="S162" s="20"/>
    </row>
    <row r="163" customFormat="false" ht="15" hidden="false" customHeight="false" outlineLevel="0" collapsed="false">
      <c r="A163" s="20"/>
      <c r="B163" s="20"/>
      <c r="C163" s="21"/>
      <c r="D163" s="21"/>
      <c r="E163" s="21"/>
      <c r="F163" s="20"/>
      <c r="G163" s="22"/>
      <c r="H163" s="23" t="str">
        <f aca="false">IF(G163="","",$F$2+G163/24)</f>
        <v/>
      </c>
      <c r="I163" s="22"/>
      <c r="J163" s="23" t="str">
        <f aca="false">IF(OR(G163="",I163=""),"",$F$2+(G163+I163)/24)</f>
        <v/>
      </c>
      <c r="K163" s="20"/>
      <c r="L163" s="20"/>
      <c r="M163" s="20"/>
      <c r="N163" s="20"/>
      <c r="O163" s="21"/>
      <c r="P163" s="21"/>
      <c r="Q163" s="20"/>
      <c r="R163" s="20"/>
      <c r="S163" s="20"/>
    </row>
    <row r="164" customFormat="false" ht="15" hidden="false" customHeight="false" outlineLevel="0" collapsed="false">
      <c r="A164" s="20"/>
      <c r="B164" s="20"/>
      <c r="C164" s="21"/>
      <c r="D164" s="21"/>
      <c r="E164" s="21"/>
      <c r="F164" s="20"/>
      <c r="G164" s="22"/>
      <c r="H164" s="23" t="str">
        <f aca="false">IF(G164="","",$F$2+G164/24)</f>
        <v/>
      </c>
      <c r="I164" s="22"/>
      <c r="J164" s="23" t="str">
        <f aca="false">IF(OR(G164="",I164=""),"",$F$2+(G164+I164)/24)</f>
        <v/>
      </c>
      <c r="K164" s="20"/>
      <c r="L164" s="20"/>
      <c r="M164" s="20"/>
      <c r="N164" s="20"/>
      <c r="O164" s="21"/>
      <c r="P164" s="21"/>
      <c r="Q164" s="20"/>
      <c r="R164" s="20"/>
      <c r="S164" s="20"/>
    </row>
    <row r="165" customFormat="false" ht="15" hidden="false" customHeight="false" outlineLevel="0" collapsed="false">
      <c r="A165" s="20"/>
      <c r="B165" s="20"/>
      <c r="C165" s="21"/>
      <c r="D165" s="21"/>
      <c r="E165" s="21"/>
      <c r="F165" s="20"/>
      <c r="G165" s="22"/>
      <c r="H165" s="23" t="str">
        <f aca="false">IF(G165="","",$F$2+G165/24)</f>
        <v/>
      </c>
      <c r="I165" s="22"/>
      <c r="J165" s="23" t="str">
        <f aca="false">IF(OR(G165="",I165=""),"",$F$2+(G165+I165)/24)</f>
        <v/>
      </c>
      <c r="K165" s="20"/>
      <c r="L165" s="20"/>
      <c r="M165" s="20"/>
      <c r="N165" s="20"/>
      <c r="O165" s="21"/>
      <c r="P165" s="21"/>
      <c r="Q165" s="20"/>
      <c r="R165" s="20"/>
      <c r="S165" s="20"/>
    </row>
    <row r="166" customFormat="false" ht="15" hidden="false" customHeight="false" outlineLevel="0" collapsed="false">
      <c r="A166" s="20"/>
      <c r="B166" s="20"/>
      <c r="C166" s="21"/>
      <c r="D166" s="21"/>
      <c r="E166" s="21"/>
      <c r="F166" s="20"/>
      <c r="G166" s="22"/>
      <c r="H166" s="23" t="str">
        <f aca="false">IF(G166="","",$F$2+G166/24)</f>
        <v/>
      </c>
      <c r="I166" s="22"/>
      <c r="J166" s="23" t="str">
        <f aca="false">IF(OR(G166="",I166=""),"",$F$2+(G166+I166)/24)</f>
        <v/>
      </c>
      <c r="K166" s="20"/>
      <c r="L166" s="20"/>
      <c r="M166" s="20"/>
      <c r="N166" s="20"/>
      <c r="O166" s="21"/>
      <c r="P166" s="21"/>
      <c r="Q166" s="20"/>
      <c r="R166" s="20"/>
      <c r="S166" s="20"/>
    </row>
    <row r="167" customFormat="false" ht="15" hidden="false" customHeight="false" outlineLevel="0" collapsed="false">
      <c r="A167" s="20"/>
      <c r="B167" s="20"/>
      <c r="C167" s="21"/>
      <c r="D167" s="21"/>
      <c r="E167" s="21"/>
      <c r="F167" s="20"/>
      <c r="G167" s="22"/>
      <c r="H167" s="23" t="str">
        <f aca="false">IF(G167="","",$F$2+G167/24)</f>
        <v/>
      </c>
      <c r="I167" s="22"/>
      <c r="J167" s="23" t="str">
        <f aca="false">IF(OR(G167="",I167=""),"",$F$2+(G167+I167)/24)</f>
        <v/>
      </c>
      <c r="K167" s="20"/>
      <c r="L167" s="20"/>
      <c r="M167" s="20"/>
      <c r="N167" s="20"/>
      <c r="O167" s="21"/>
      <c r="P167" s="21"/>
      <c r="Q167" s="20"/>
      <c r="R167" s="20"/>
      <c r="S167" s="20"/>
    </row>
    <row r="168" customFormat="false" ht="15" hidden="false" customHeight="false" outlineLevel="0" collapsed="false">
      <c r="A168" s="20"/>
      <c r="B168" s="20"/>
      <c r="C168" s="21"/>
      <c r="D168" s="21"/>
      <c r="E168" s="21"/>
      <c r="F168" s="20"/>
      <c r="G168" s="22"/>
      <c r="H168" s="23" t="str">
        <f aca="false">IF(G168="","",$F$2+G168/24)</f>
        <v/>
      </c>
      <c r="I168" s="22"/>
      <c r="J168" s="23" t="str">
        <f aca="false">IF(OR(G168="",I168=""),"",$F$2+(G168+I168)/24)</f>
        <v/>
      </c>
      <c r="K168" s="20"/>
      <c r="L168" s="20"/>
      <c r="M168" s="20"/>
      <c r="N168" s="20"/>
      <c r="O168" s="21"/>
      <c r="P168" s="21"/>
      <c r="Q168" s="20"/>
      <c r="R168" s="20"/>
      <c r="S168" s="20"/>
    </row>
    <row r="169" customFormat="false" ht="15" hidden="false" customHeight="false" outlineLevel="0" collapsed="false">
      <c r="A169" s="20"/>
      <c r="B169" s="20"/>
      <c r="C169" s="21"/>
      <c r="D169" s="21"/>
      <c r="E169" s="21"/>
      <c r="F169" s="20"/>
      <c r="G169" s="22"/>
      <c r="H169" s="23" t="str">
        <f aca="false">IF(G169="","",$F$2+G169/24)</f>
        <v/>
      </c>
      <c r="I169" s="22"/>
      <c r="J169" s="23" t="str">
        <f aca="false">IF(OR(G169="",I169=""),"",$F$2+(G169+I169)/24)</f>
        <v/>
      </c>
      <c r="K169" s="20"/>
      <c r="L169" s="20"/>
      <c r="M169" s="20"/>
      <c r="N169" s="20"/>
      <c r="O169" s="21"/>
      <c r="P169" s="21"/>
      <c r="Q169" s="20"/>
      <c r="R169" s="20"/>
      <c r="S169" s="20"/>
    </row>
    <row r="170" customFormat="false" ht="15" hidden="false" customHeight="false" outlineLevel="0" collapsed="false">
      <c r="A170" s="20"/>
      <c r="B170" s="20"/>
      <c r="C170" s="21"/>
      <c r="D170" s="21"/>
      <c r="E170" s="21"/>
      <c r="F170" s="20"/>
      <c r="G170" s="22"/>
      <c r="H170" s="23" t="str">
        <f aca="false">IF(G170="","",$F$2+G170/24)</f>
        <v/>
      </c>
      <c r="I170" s="22"/>
      <c r="J170" s="23" t="str">
        <f aca="false">IF(OR(G170="",I170=""),"",$F$2+(G170+I170)/24)</f>
        <v/>
      </c>
      <c r="K170" s="20"/>
      <c r="L170" s="20"/>
      <c r="M170" s="20"/>
      <c r="N170" s="20"/>
      <c r="O170" s="21"/>
      <c r="P170" s="21"/>
      <c r="Q170" s="20"/>
      <c r="R170" s="20"/>
      <c r="S170" s="20"/>
    </row>
    <row r="171" customFormat="false" ht="15" hidden="false" customHeight="false" outlineLevel="0" collapsed="false">
      <c r="A171" s="20"/>
      <c r="B171" s="20"/>
      <c r="C171" s="21"/>
      <c r="D171" s="21"/>
      <c r="E171" s="21"/>
      <c r="F171" s="20"/>
      <c r="G171" s="22"/>
      <c r="H171" s="23" t="str">
        <f aca="false">IF(G171="","",$F$2+G171/24)</f>
        <v/>
      </c>
      <c r="I171" s="22"/>
      <c r="J171" s="23" t="str">
        <f aca="false">IF(OR(G171="",I171=""),"",$F$2+(G171+I171)/24)</f>
        <v/>
      </c>
      <c r="K171" s="20"/>
      <c r="L171" s="20"/>
      <c r="M171" s="20"/>
      <c r="N171" s="20"/>
      <c r="O171" s="21"/>
      <c r="P171" s="21"/>
      <c r="Q171" s="20"/>
      <c r="R171" s="20"/>
      <c r="S171" s="20"/>
    </row>
    <row r="172" customFormat="false" ht="15" hidden="false" customHeight="false" outlineLevel="0" collapsed="false">
      <c r="A172" s="20"/>
      <c r="B172" s="20"/>
      <c r="C172" s="21"/>
      <c r="D172" s="21"/>
      <c r="E172" s="21"/>
      <c r="F172" s="20"/>
      <c r="G172" s="22"/>
      <c r="H172" s="23" t="str">
        <f aca="false">IF(G172="","",$F$2+G172/24)</f>
        <v/>
      </c>
      <c r="I172" s="22"/>
      <c r="J172" s="23" t="str">
        <f aca="false">IF(OR(G172="",I172=""),"",$F$2+(G172+I172)/24)</f>
        <v/>
      </c>
      <c r="K172" s="20"/>
      <c r="L172" s="20"/>
      <c r="M172" s="20"/>
      <c r="N172" s="20"/>
      <c r="O172" s="21"/>
      <c r="P172" s="21"/>
      <c r="Q172" s="20"/>
      <c r="R172" s="20"/>
      <c r="S172" s="20"/>
    </row>
    <row r="173" customFormat="false" ht="15" hidden="false" customHeight="false" outlineLevel="0" collapsed="false">
      <c r="A173" s="20"/>
      <c r="B173" s="20"/>
      <c r="C173" s="21"/>
      <c r="D173" s="21"/>
      <c r="E173" s="21"/>
      <c r="F173" s="20"/>
      <c r="G173" s="22"/>
      <c r="H173" s="23" t="str">
        <f aca="false">IF(G173="","",$F$2+G173/24)</f>
        <v/>
      </c>
      <c r="I173" s="22"/>
      <c r="J173" s="23" t="str">
        <f aca="false">IF(OR(G173="",I173=""),"",$F$2+(G173+I173)/24)</f>
        <v/>
      </c>
      <c r="K173" s="20"/>
      <c r="L173" s="20"/>
      <c r="M173" s="20"/>
      <c r="N173" s="20"/>
      <c r="O173" s="21"/>
      <c r="P173" s="21"/>
      <c r="Q173" s="20"/>
      <c r="R173" s="20"/>
      <c r="S173" s="20"/>
    </row>
    <row r="174" customFormat="false" ht="15" hidden="false" customHeight="false" outlineLevel="0" collapsed="false">
      <c r="A174" s="20"/>
      <c r="B174" s="20"/>
      <c r="C174" s="21"/>
      <c r="D174" s="21"/>
      <c r="E174" s="21"/>
      <c r="F174" s="20"/>
      <c r="G174" s="22"/>
      <c r="H174" s="23" t="str">
        <f aca="false">IF(G174="","",$F$2+G174/24)</f>
        <v/>
      </c>
      <c r="I174" s="22"/>
      <c r="J174" s="23" t="str">
        <f aca="false">IF(OR(G174="",I174=""),"",$F$2+(G174+I174)/24)</f>
        <v/>
      </c>
      <c r="K174" s="20"/>
      <c r="L174" s="20"/>
      <c r="M174" s="20"/>
      <c r="N174" s="20"/>
      <c r="O174" s="21"/>
      <c r="P174" s="21"/>
      <c r="Q174" s="20"/>
      <c r="R174" s="20"/>
      <c r="S174" s="20"/>
    </row>
    <row r="175" customFormat="false" ht="15" hidden="false" customHeight="false" outlineLevel="0" collapsed="false">
      <c r="A175" s="20"/>
      <c r="B175" s="20"/>
      <c r="C175" s="21"/>
      <c r="D175" s="21"/>
      <c r="E175" s="21"/>
      <c r="F175" s="20"/>
      <c r="G175" s="22"/>
      <c r="H175" s="23" t="str">
        <f aca="false">IF(G175="","",$F$2+G175/24)</f>
        <v/>
      </c>
      <c r="I175" s="22"/>
      <c r="J175" s="23" t="str">
        <f aca="false">IF(OR(G175="",I175=""),"",$F$2+(G175+I175)/24)</f>
        <v/>
      </c>
      <c r="K175" s="20"/>
      <c r="L175" s="20"/>
      <c r="M175" s="20"/>
      <c r="N175" s="20"/>
      <c r="O175" s="21"/>
      <c r="P175" s="21"/>
      <c r="Q175" s="20"/>
      <c r="R175" s="20"/>
      <c r="S175" s="20"/>
    </row>
    <row r="176" customFormat="false" ht="15" hidden="false" customHeight="false" outlineLevel="0" collapsed="false">
      <c r="A176" s="20"/>
      <c r="B176" s="20"/>
      <c r="C176" s="21"/>
      <c r="D176" s="21"/>
      <c r="E176" s="21"/>
      <c r="F176" s="20"/>
      <c r="G176" s="22"/>
      <c r="H176" s="23" t="str">
        <f aca="false">IF(G176="","",$F$2+G176/24)</f>
        <v/>
      </c>
      <c r="I176" s="22"/>
      <c r="J176" s="23" t="str">
        <f aca="false">IF(OR(G176="",I176=""),"",$F$2+(G176+I176)/24)</f>
        <v/>
      </c>
      <c r="K176" s="20"/>
      <c r="L176" s="20"/>
      <c r="M176" s="20"/>
      <c r="N176" s="20"/>
      <c r="O176" s="21"/>
      <c r="P176" s="21"/>
      <c r="Q176" s="20"/>
      <c r="R176" s="20"/>
      <c r="S176" s="20"/>
    </row>
    <row r="177" customFormat="false" ht="15" hidden="false" customHeight="false" outlineLevel="0" collapsed="false">
      <c r="A177" s="20"/>
      <c r="B177" s="20"/>
      <c r="C177" s="21"/>
      <c r="D177" s="21"/>
      <c r="E177" s="21"/>
      <c r="F177" s="20"/>
      <c r="G177" s="22"/>
      <c r="H177" s="23" t="str">
        <f aca="false">IF(G177="","",$F$2+G177/24)</f>
        <v/>
      </c>
      <c r="I177" s="22"/>
      <c r="J177" s="23" t="str">
        <f aca="false">IF(OR(G177="",I177=""),"",$F$2+(G177+I177)/24)</f>
        <v/>
      </c>
      <c r="K177" s="20"/>
      <c r="L177" s="20"/>
      <c r="M177" s="20"/>
      <c r="N177" s="20"/>
      <c r="O177" s="21"/>
      <c r="P177" s="21"/>
      <c r="Q177" s="20"/>
      <c r="R177" s="20"/>
      <c r="S177" s="20"/>
    </row>
    <row r="178" customFormat="false" ht="15" hidden="false" customHeight="false" outlineLevel="0" collapsed="false">
      <c r="A178" s="20"/>
      <c r="B178" s="20"/>
      <c r="C178" s="21"/>
      <c r="D178" s="21"/>
      <c r="E178" s="21"/>
      <c r="F178" s="20"/>
      <c r="G178" s="22"/>
      <c r="H178" s="23" t="str">
        <f aca="false">IF(G178="","",$F$2+G178/24)</f>
        <v/>
      </c>
      <c r="I178" s="22"/>
      <c r="J178" s="23" t="str">
        <f aca="false">IF(OR(G178="",I178=""),"",$F$2+(G178+I178)/24)</f>
        <v/>
      </c>
      <c r="K178" s="20"/>
      <c r="L178" s="20"/>
      <c r="M178" s="20"/>
      <c r="N178" s="20"/>
      <c r="O178" s="21"/>
      <c r="P178" s="21"/>
      <c r="Q178" s="20"/>
      <c r="R178" s="20"/>
      <c r="S178" s="20"/>
    </row>
    <row r="179" customFormat="false" ht="15" hidden="false" customHeight="false" outlineLevel="0" collapsed="false">
      <c r="A179" s="20"/>
      <c r="B179" s="20"/>
      <c r="C179" s="21"/>
      <c r="D179" s="21"/>
      <c r="E179" s="21"/>
      <c r="F179" s="20"/>
      <c r="G179" s="22"/>
      <c r="H179" s="23" t="str">
        <f aca="false">IF(G179="","",$F$2+G179/24)</f>
        <v/>
      </c>
      <c r="I179" s="22"/>
      <c r="J179" s="23" t="str">
        <f aca="false">IF(OR(G179="",I179=""),"",$F$2+(G179+I179)/24)</f>
        <v/>
      </c>
      <c r="K179" s="20"/>
      <c r="L179" s="20"/>
      <c r="M179" s="20"/>
      <c r="N179" s="20"/>
      <c r="O179" s="21"/>
      <c r="P179" s="21"/>
      <c r="Q179" s="20"/>
      <c r="R179" s="20"/>
      <c r="S179" s="20"/>
    </row>
    <row r="180" customFormat="false" ht="15" hidden="false" customHeight="false" outlineLevel="0" collapsed="false">
      <c r="A180" s="20"/>
      <c r="B180" s="20"/>
      <c r="C180" s="21"/>
      <c r="D180" s="21"/>
      <c r="E180" s="21"/>
      <c r="F180" s="20"/>
      <c r="G180" s="22"/>
      <c r="H180" s="23" t="str">
        <f aca="false">IF(G180="","",$F$2+G180/24)</f>
        <v/>
      </c>
      <c r="I180" s="22"/>
      <c r="J180" s="23" t="str">
        <f aca="false">IF(OR(G180="",I180=""),"",$F$2+(G180+I180)/24)</f>
        <v/>
      </c>
      <c r="K180" s="20"/>
      <c r="L180" s="20"/>
      <c r="M180" s="20"/>
      <c r="N180" s="20"/>
      <c r="O180" s="21"/>
      <c r="P180" s="21"/>
      <c r="Q180" s="20"/>
      <c r="R180" s="20"/>
      <c r="S180" s="20"/>
    </row>
    <row r="181" customFormat="false" ht="15" hidden="false" customHeight="false" outlineLevel="0" collapsed="false">
      <c r="A181" s="20"/>
      <c r="B181" s="20"/>
      <c r="C181" s="21"/>
      <c r="D181" s="21"/>
      <c r="E181" s="21"/>
      <c r="F181" s="20"/>
      <c r="G181" s="22"/>
      <c r="H181" s="23" t="str">
        <f aca="false">IF(G181="","",$F$2+G181/24)</f>
        <v/>
      </c>
      <c r="I181" s="22"/>
      <c r="J181" s="23" t="str">
        <f aca="false">IF(OR(G181="",I181=""),"",$F$2+(G181+I181)/24)</f>
        <v/>
      </c>
      <c r="K181" s="20"/>
      <c r="L181" s="20"/>
      <c r="M181" s="20"/>
      <c r="N181" s="20"/>
      <c r="O181" s="21"/>
      <c r="P181" s="21"/>
      <c r="Q181" s="20"/>
      <c r="R181" s="20"/>
      <c r="S181" s="20"/>
    </row>
    <row r="182" customFormat="false" ht="15" hidden="false" customHeight="false" outlineLevel="0" collapsed="false">
      <c r="A182" s="20"/>
      <c r="B182" s="20"/>
      <c r="C182" s="21"/>
      <c r="D182" s="21"/>
      <c r="E182" s="21"/>
      <c r="F182" s="20"/>
      <c r="G182" s="22"/>
      <c r="H182" s="23" t="str">
        <f aca="false">IF(G182="","",$F$2+G182/24)</f>
        <v/>
      </c>
      <c r="I182" s="22"/>
      <c r="J182" s="23" t="str">
        <f aca="false">IF(OR(G182="",I182=""),"",$F$2+(G182+I182)/24)</f>
        <v/>
      </c>
      <c r="K182" s="20"/>
      <c r="L182" s="20"/>
      <c r="M182" s="20"/>
      <c r="N182" s="20"/>
      <c r="O182" s="21"/>
      <c r="P182" s="21"/>
      <c r="Q182" s="20"/>
      <c r="R182" s="20"/>
      <c r="S182" s="20"/>
    </row>
    <row r="183" customFormat="false" ht="15" hidden="false" customHeight="false" outlineLevel="0" collapsed="false">
      <c r="A183" s="20"/>
      <c r="B183" s="20"/>
      <c r="C183" s="21"/>
      <c r="D183" s="21"/>
      <c r="E183" s="21"/>
      <c r="F183" s="20"/>
      <c r="G183" s="22"/>
      <c r="H183" s="23" t="str">
        <f aca="false">IF(G183="","",$F$2+G183/24)</f>
        <v/>
      </c>
      <c r="I183" s="22"/>
      <c r="J183" s="23" t="str">
        <f aca="false">IF(OR(G183="",I183=""),"",$F$2+(G183+I183)/24)</f>
        <v/>
      </c>
      <c r="K183" s="20"/>
      <c r="L183" s="20"/>
      <c r="M183" s="20"/>
      <c r="N183" s="20"/>
      <c r="O183" s="21"/>
      <c r="P183" s="21"/>
      <c r="Q183" s="20"/>
      <c r="R183" s="20"/>
      <c r="S183" s="20"/>
    </row>
    <row r="184" customFormat="false" ht="15" hidden="false" customHeight="false" outlineLevel="0" collapsed="false">
      <c r="A184" s="20"/>
      <c r="B184" s="20"/>
      <c r="C184" s="21"/>
      <c r="D184" s="21"/>
      <c r="E184" s="21"/>
      <c r="F184" s="20"/>
      <c r="G184" s="22"/>
      <c r="H184" s="23" t="str">
        <f aca="false">IF(G184="","",$F$2+G184/24)</f>
        <v/>
      </c>
      <c r="I184" s="22"/>
      <c r="J184" s="23" t="str">
        <f aca="false">IF(OR(G184="",I184=""),"",$F$2+(G184+I184)/24)</f>
        <v/>
      </c>
      <c r="K184" s="20"/>
      <c r="L184" s="20"/>
      <c r="M184" s="20"/>
      <c r="N184" s="20"/>
      <c r="O184" s="21"/>
      <c r="P184" s="21"/>
      <c r="Q184" s="20"/>
      <c r="R184" s="20"/>
      <c r="S184" s="20"/>
    </row>
    <row r="185" customFormat="false" ht="15" hidden="false" customHeight="false" outlineLevel="0" collapsed="false">
      <c r="A185" s="20"/>
      <c r="B185" s="20"/>
      <c r="C185" s="21"/>
      <c r="D185" s="21"/>
      <c r="E185" s="21"/>
      <c r="F185" s="20"/>
      <c r="G185" s="22"/>
      <c r="H185" s="23" t="str">
        <f aca="false">IF(G185="","",$F$2+G185/24)</f>
        <v/>
      </c>
      <c r="I185" s="22"/>
      <c r="J185" s="23" t="str">
        <f aca="false">IF(OR(G185="",I185=""),"",$F$2+(G185+I185)/24)</f>
        <v/>
      </c>
      <c r="K185" s="20"/>
      <c r="L185" s="20"/>
      <c r="M185" s="20"/>
      <c r="N185" s="20"/>
      <c r="O185" s="21"/>
      <c r="P185" s="21"/>
      <c r="Q185" s="20"/>
      <c r="R185" s="20"/>
      <c r="S185" s="20"/>
    </row>
    <row r="186" customFormat="false" ht="15" hidden="false" customHeight="false" outlineLevel="0" collapsed="false">
      <c r="A186" s="20"/>
      <c r="B186" s="20"/>
      <c r="C186" s="21"/>
      <c r="D186" s="21"/>
      <c r="E186" s="21"/>
      <c r="F186" s="20"/>
      <c r="G186" s="22"/>
      <c r="H186" s="23" t="str">
        <f aca="false">IF(G186="","",$F$2+G186/24)</f>
        <v/>
      </c>
      <c r="I186" s="22"/>
      <c r="J186" s="23" t="str">
        <f aca="false">IF(OR(G186="",I186=""),"",$F$2+(G186+I186)/24)</f>
        <v/>
      </c>
      <c r="K186" s="20"/>
      <c r="L186" s="20"/>
      <c r="M186" s="20"/>
      <c r="N186" s="20"/>
      <c r="O186" s="21"/>
      <c r="P186" s="21"/>
      <c r="Q186" s="20"/>
      <c r="R186" s="20"/>
      <c r="S186" s="20"/>
    </row>
    <row r="187" customFormat="false" ht="15" hidden="false" customHeight="false" outlineLevel="0" collapsed="false">
      <c r="A187" s="20"/>
      <c r="B187" s="20"/>
      <c r="C187" s="21"/>
      <c r="D187" s="21"/>
      <c r="E187" s="21"/>
      <c r="F187" s="20"/>
      <c r="G187" s="22"/>
      <c r="H187" s="23" t="str">
        <f aca="false">IF(G187="","",$F$2+G187/24)</f>
        <v/>
      </c>
      <c r="I187" s="22"/>
      <c r="J187" s="23" t="str">
        <f aca="false">IF(OR(G187="",I187=""),"",$F$2+(G187+I187)/24)</f>
        <v/>
      </c>
      <c r="K187" s="20"/>
      <c r="L187" s="20"/>
      <c r="M187" s="20"/>
      <c r="N187" s="20"/>
      <c r="O187" s="21"/>
      <c r="P187" s="21"/>
      <c r="Q187" s="20"/>
      <c r="R187" s="20"/>
      <c r="S187" s="20"/>
    </row>
    <row r="188" customFormat="false" ht="15" hidden="false" customHeight="false" outlineLevel="0" collapsed="false">
      <c r="A188" s="20"/>
      <c r="B188" s="20"/>
      <c r="C188" s="21"/>
      <c r="D188" s="21"/>
      <c r="E188" s="21"/>
      <c r="F188" s="20"/>
      <c r="G188" s="22"/>
      <c r="H188" s="23" t="str">
        <f aca="false">IF(G188="","",$F$2+G188/24)</f>
        <v/>
      </c>
      <c r="I188" s="22"/>
      <c r="J188" s="23" t="str">
        <f aca="false">IF(OR(G188="",I188=""),"",$F$2+(G188+I188)/24)</f>
        <v/>
      </c>
      <c r="K188" s="20"/>
      <c r="L188" s="20"/>
      <c r="M188" s="20"/>
      <c r="N188" s="20"/>
      <c r="O188" s="21"/>
      <c r="P188" s="21"/>
      <c r="Q188" s="20"/>
      <c r="R188" s="20"/>
      <c r="S188" s="20"/>
    </row>
    <row r="189" customFormat="false" ht="15" hidden="false" customHeight="false" outlineLevel="0" collapsed="false">
      <c r="A189" s="20"/>
      <c r="B189" s="20"/>
      <c r="C189" s="21"/>
      <c r="D189" s="21"/>
      <c r="E189" s="21"/>
      <c r="F189" s="20"/>
      <c r="G189" s="22"/>
      <c r="H189" s="23" t="str">
        <f aca="false">IF(G189="","",$F$2+G189/24)</f>
        <v/>
      </c>
      <c r="I189" s="22"/>
      <c r="J189" s="23" t="str">
        <f aca="false">IF(OR(G189="",I189=""),"",$F$2+(G189+I189)/24)</f>
        <v/>
      </c>
      <c r="K189" s="20"/>
      <c r="L189" s="20"/>
      <c r="M189" s="20"/>
      <c r="N189" s="20"/>
      <c r="O189" s="21"/>
      <c r="P189" s="21"/>
      <c r="Q189" s="20"/>
      <c r="R189" s="20"/>
      <c r="S189" s="20"/>
    </row>
    <row r="190" customFormat="false" ht="15" hidden="false" customHeight="false" outlineLevel="0" collapsed="false">
      <c r="A190" s="20"/>
      <c r="B190" s="20"/>
      <c r="C190" s="21"/>
      <c r="D190" s="21"/>
      <c r="E190" s="21"/>
      <c r="F190" s="20"/>
      <c r="G190" s="22"/>
      <c r="H190" s="23" t="str">
        <f aca="false">IF(G190="","",$F$2+G190/24)</f>
        <v/>
      </c>
      <c r="I190" s="22"/>
      <c r="J190" s="23" t="str">
        <f aca="false">IF(OR(G190="",I190=""),"",$F$2+(G190+I190)/24)</f>
        <v/>
      </c>
      <c r="K190" s="20"/>
      <c r="L190" s="20"/>
      <c r="M190" s="20"/>
      <c r="N190" s="20"/>
      <c r="O190" s="21"/>
      <c r="P190" s="21"/>
      <c r="Q190" s="20"/>
      <c r="R190" s="20"/>
      <c r="S190" s="20"/>
    </row>
    <row r="191" customFormat="false" ht="15" hidden="false" customHeight="false" outlineLevel="0" collapsed="false">
      <c r="A191" s="20"/>
      <c r="B191" s="20"/>
      <c r="C191" s="21"/>
      <c r="D191" s="21"/>
      <c r="E191" s="21"/>
      <c r="F191" s="20"/>
      <c r="G191" s="22"/>
      <c r="H191" s="23" t="str">
        <f aca="false">IF(G191="","",$F$2+G191/24)</f>
        <v/>
      </c>
      <c r="I191" s="22"/>
      <c r="J191" s="23" t="str">
        <f aca="false">IF(OR(G191="",I191=""),"",$F$2+(G191+I191)/24)</f>
        <v/>
      </c>
      <c r="K191" s="20"/>
      <c r="L191" s="20"/>
      <c r="M191" s="20"/>
      <c r="N191" s="20"/>
      <c r="O191" s="21"/>
      <c r="P191" s="21"/>
      <c r="Q191" s="20"/>
      <c r="R191" s="20"/>
      <c r="S191" s="20"/>
    </row>
    <row r="192" customFormat="false" ht="15" hidden="false" customHeight="false" outlineLevel="0" collapsed="false">
      <c r="A192" s="20"/>
      <c r="B192" s="20"/>
      <c r="C192" s="21"/>
      <c r="D192" s="21"/>
      <c r="E192" s="21"/>
      <c r="F192" s="20"/>
      <c r="G192" s="22"/>
      <c r="H192" s="23" t="str">
        <f aca="false">IF(G192="","",$F$2+G192/24)</f>
        <v/>
      </c>
      <c r="I192" s="22"/>
      <c r="J192" s="23" t="str">
        <f aca="false">IF(OR(G192="",I192=""),"",$F$2+(G192+I192)/24)</f>
        <v/>
      </c>
      <c r="K192" s="20"/>
      <c r="L192" s="20"/>
      <c r="M192" s="20"/>
      <c r="N192" s="20"/>
      <c r="O192" s="21"/>
      <c r="P192" s="21"/>
      <c r="Q192" s="20"/>
      <c r="R192" s="20"/>
      <c r="S192" s="20"/>
    </row>
    <row r="193" customFormat="false" ht="15" hidden="false" customHeight="false" outlineLevel="0" collapsed="false">
      <c r="A193" s="20"/>
      <c r="B193" s="20"/>
      <c r="C193" s="21"/>
      <c r="D193" s="21"/>
      <c r="E193" s="21"/>
      <c r="F193" s="20"/>
      <c r="G193" s="22"/>
      <c r="H193" s="23" t="str">
        <f aca="false">IF(G193="","",$F$2+G193/24)</f>
        <v/>
      </c>
      <c r="I193" s="22"/>
      <c r="J193" s="23" t="str">
        <f aca="false">IF(OR(G193="",I193=""),"",$F$2+(G193+I193)/24)</f>
        <v/>
      </c>
      <c r="K193" s="20"/>
      <c r="L193" s="20"/>
      <c r="M193" s="20"/>
      <c r="N193" s="20"/>
      <c r="O193" s="21"/>
      <c r="P193" s="21"/>
      <c r="Q193" s="20"/>
      <c r="R193" s="20"/>
      <c r="S193" s="20"/>
    </row>
    <row r="194" customFormat="false" ht="15" hidden="false" customHeight="false" outlineLevel="0" collapsed="false">
      <c r="A194" s="20"/>
      <c r="B194" s="20"/>
      <c r="C194" s="21"/>
      <c r="D194" s="21"/>
      <c r="E194" s="21"/>
      <c r="F194" s="20"/>
      <c r="G194" s="22"/>
      <c r="H194" s="23" t="str">
        <f aca="false">IF(G194="","",$F$2+G194/24)</f>
        <v/>
      </c>
      <c r="I194" s="22"/>
      <c r="J194" s="23" t="str">
        <f aca="false">IF(OR(G194="",I194=""),"",$F$2+(G194+I194)/24)</f>
        <v/>
      </c>
      <c r="K194" s="20"/>
      <c r="L194" s="20"/>
      <c r="M194" s="20"/>
      <c r="N194" s="20"/>
      <c r="O194" s="21"/>
      <c r="P194" s="21"/>
      <c r="Q194" s="20"/>
      <c r="R194" s="20"/>
      <c r="S194" s="20"/>
    </row>
    <row r="195" customFormat="false" ht="15" hidden="false" customHeight="false" outlineLevel="0" collapsed="false">
      <c r="A195" s="20"/>
      <c r="B195" s="20"/>
      <c r="C195" s="21"/>
      <c r="D195" s="21"/>
      <c r="E195" s="21"/>
      <c r="F195" s="20"/>
      <c r="G195" s="22"/>
      <c r="H195" s="23" t="str">
        <f aca="false">IF(G195="","",$F$2+G195/24)</f>
        <v/>
      </c>
      <c r="I195" s="22"/>
      <c r="J195" s="23" t="str">
        <f aca="false">IF(OR(G195="",I195=""),"",$F$2+(G195+I195)/24)</f>
        <v/>
      </c>
      <c r="K195" s="20"/>
      <c r="L195" s="20"/>
      <c r="M195" s="20"/>
      <c r="N195" s="20"/>
      <c r="O195" s="21"/>
      <c r="P195" s="21"/>
      <c r="Q195" s="20"/>
      <c r="R195" s="20"/>
      <c r="S195" s="20"/>
    </row>
    <row r="196" customFormat="false" ht="15" hidden="false" customHeight="false" outlineLevel="0" collapsed="false">
      <c r="A196" s="20"/>
      <c r="B196" s="20"/>
      <c r="C196" s="21"/>
      <c r="D196" s="21"/>
      <c r="E196" s="21"/>
      <c r="F196" s="20"/>
      <c r="G196" s="22"/>
      <c r="H196" s="23" t="str">
        <f aca="false">IF(G196="","",$F$2+G196/24)</f>
        <v/>
      </c>
      <c r="I196" s="22"/>
      <c r="J196" s="23" t="str">
        <f aca="false">IF(OR(G196="",I196=""),"",$F$2+(G196+I196)/24)</f>
        <v/>
      </c>
      <c r="K196" s="20"/>
      <c r="L196" s="20"/>
      <c r="M196" s="20"/>
      <c r="N196" s="20"/>
      <c r="O196" s="21"/>
      <c r="P196" s="21"/>
      <c r="Q196" s="20"/>
      <c r="R196" s="20"/>
      <c r="S196" s="20"/>
    </row>
    <row r="197" customFormat="false" ht="15" hidden="false" customHeight="false" outlineLevel="0" collapsed="false">
      <c r="A197" s="20"/>
      <c r="B197" s="20"/>
      <c r="C197" s="21"/>
      <c r="D197" s="21"/>
      <c r="E197" s="21"/>
      <c r="F197" s="20"/>
      <c r="G197" s="22"/>
      <c r="H197" s="23" t="str">
        <f aca="false">IF(G197="","",$F$2+G197/24)</f>
        <v/>
      </c>
      <c r="I197" s="22"/>
      <c r="J197" s="23" t="str">
        <f aca="false">IF(OR(G197="",I197=""),"",$F$2+(G197+I197)/24)</f>
        <v/>
      </c>
      <c r="K197" s="20"/>
      <c r="L197" s="20"/>
      <c r="M197" s="20"/>
      <c r="N197" s="20"/>
      <c r="O197" s="21"/>
      <c r="P197" s="21"/>
      <c r="Q197" s="20"/>
      <c r="R197" s="20"/>
      <c r="S197" s="20"/>
    </row>
    <row r="198" customFormat="false" ht="15" hidden="false" customHeight="false" outlineLevel="0" collapsed="false">
      <c r="A198" s="20"/>
      <c r="B198" s="20"/>
      <c r="C198" s="21"/>
      <c r="D198" s="21"/>
      <c r="E198" s="21"/>
      <c r="F198" s="20"/>
      <c r="G198" s="22"/>
      <c r="H198" s="23" t="str">
        <f aca="false">IF(G198="","",$F$2+G198/24)</f>
        <v/>
      </c>
      <c r="I198" s="22"/>
      <c r="J198" s="23" t="str">
        <f aca="false">IF(OR(G198="",I198=""),"",$F$2+(G198+I198)/24)</f>
        <v/>
      </c>
      <c r="K198" s="20"/>
      <c r="L198" s="20"/>
      <c r="M198" s="20"/>
      <c r="N198" s="20"/>
      <c r="O198" s="21"/>
      <c r="P198" s="21"/>
      <c r="Q198" s="20"/>
      <c r="R198" s="20"/>
      <c r="S198" s="20"/>
    </row>
    <row r="199" customFormat="false" ht="15" hidden="false" customHeight="false" outlineLevel="0" collapsed="false">
      <c r="A199" s="20"/>
      <c r="B199" s="20"/>
      <c r="C199" s="21"/>
      <c r="D199" s="21"/>
      <c r="E199" s="21"/>
      <c r="F199" s="20"/>
      <c r="G199" s="22"/>
      <c r="H199" s="23" t="str">
        <f aca="false">IF(G199="","",$F$2+G199/24)</f>
        <v/>
      </c>
      <c r="I199" s="22"/>
      <c r="J199" s="23" t="str">
        <f aca="false">IF(OR(G199="",I199=""),"",$F$2+(G199+I199)/24)</f>
        <v/>
      </c>
      <c r="K199" s="20"/>
      <c r="L199" s="20"/>
      <c r="M199" s="20"/>
      <c r="N199" s="20"/>
      <c r="O199" s="21"/>
      <c r="P199" s="21"/>
      <c r="Q199" s="20"/>
      <c r="R199" s="20"/>
      <c r="S199" s="20"/>
    </row>
    <row r="200" customFormat="false" ht="15" hidden="false" customHeight="false" outlineLevel="0" collapsed="false">
      <c r="A200" s="20"/>
      <c r="B200" s="20"/>
      <c r="C200" s="21"/>
      <c r="D200" s="21"/>
      <c r="E200" s="21"/>
      <c r="F200" s="20"/>
      <c r="G200" s="22"/>
      <c r="H200" s="23" t="str">
        <f aca="false">IF(G200="","",$F$2+G200/24)</f>
        <v/>
      </c>
      <c r="I200" s="22"/>
      <c r="J200" s="23" t="str">
        <f aca="false">IF(OR(G200="",I200=""),"",$F$2+(G200+I200)/24)</f>
        <v/>
      </c>
      <c r="K200" s="20"/>
      <c r="L200" s="20"/>
      <c r="M200" s="20"/>
      <c r="N200" s="20"/>
      <c r="O200" s="21"/>
      <c r="P200" s="21"/>
      <c r="Q200" s="20"/>
      <c r="R200" s="20"/>
      <c r="S200" s="20"/>
    </row>
    <row r="201" customFormat="false" ht="15" hidden="false" customHeight="false" outlineLevel="0" collapsed="false">
      <c r="A201" s="20"/>
      <c r="B201" s="20"/>
      <c r="C201" s="21"/>
      <c r="D201" s="21"/>
      <c r="E201" s="21"/>
      <c r="F201" s="20"/>
      <c r="G201" s="22"/>
      <c r="H201" s="23" t="str">
        <f aca="false">IF(G201="","",$F$2+G201/24)</f>
        <v/>
      </c>
      <c r="I201" s="22"/>
      <c r="J201" s="23" t="str">
        <f aca="false">IF(OR(G201="",I201=""),"",$F$2+(G201+I201)/24)</f>
        <v/>
      </c>
      <c r="K201" s="20"/>
      <c r="L201" s="20"/>
      <c r="M201" s="20"/>
      <c r="N201" s="20"/>
      <c r="O201" s="21"/>
      <c r="P201" s="21"/>
      <c r="Q201" s="20"/>
      <c r="R201" s="20"/>
      <c r="S201" s="20"/>
    </row>
    <row r="202" customFormat="false" ht="15" hidden="false" customHeight="false" outlineLevel="0" collapsed="false">
      <c r="A202" s="20"/>
      <c r="B202" s="20"/>
      <c r="C202" s="21"/>
      <c r="D202" s="21"/>
      <c r="E202" s="21"/>
      <c r="F202" s="20"/>
      <c r="G202" s="22"/>
      <c r="H202" s="23" t="str">
        <f aca="false">IF(G202="","",$F$2+G202/24)</f>
        <v/>
      </c>
      <c r="I202" s="22"/>
      <c r="J202" s="23" t="str">
        <f aca="false">IF(OR(G202="",I202=""),"",$F$2+(G202+I202)/24)</f>
        <v/>
      </c>
      <c r="K202" s="20"/>
      <c r="L202" s="20"/>
      <c r="M202" s="20"/>
      <c r="N202" s="20"/>
      <c r="O202" s="21"/>
      <c r="P202" s="21"/>
      <c r="Q202" s="20"/>
      <c r="R202" s="20"/>
      <c r="S202" s="20"/>
    </row>
    <row r="203" customFormat="false" ht="15" hidden="false" customHeight="false" outlineLevel="0" collapsed="false">
      <c r="A203" s="20"/>
      <c r="B203" s="20"/>
      <c r="C203" s="21"/>
      <c r="D203" s="21"/>
      <c r="E203" s="21"/>
      <c r="F203" s="20"/>
      <c r="G203" s="22"/>
      <c r="H203" s="23" t="str">
        <f aca="false">IF(G203="","",$F$2+G203/24)</f>
        <v/>
      </c>
      <c r="I203" s="22"/>
      <c r="J203" s="23" t="str">
        <f aca="false">IF(OR(G203="",I203=""),"",$F$2+(G203+I203)/24)</f>
        <v/>
      </c>
      <c r="K203" s="20"/>
      <c r="L203" s="20"/>
      <c r="M203" s="20"/>
      <c r="N203" s="20"/>
      <c r="O203" s="21"/>
      <c r="P203" s="21"/>
      <c r="Q203" s="20"/>
      <c r="R203" s="20"/>
      <c r="S203" s="20"/>
    </row>
    <row r="204" customFormat="false" ht="15" hidden="false" customHeight="false" outlineLevel="0" collapsed="false">
      <c r="A204" s="20"/>
      <c r="B204" s="20"/>
      <c r="C204" s="21"/>
      <c r="D204" s="21"/>
      <c r="E204" s="21"/>
      <c r="F204" s="20"/>
      <c r="G204" s="22"/>
      <c r="H204" s="23" t="str">
        <f aca="false">IF(G204="","",$F$2+G204/24)</f>
        <v/>
      </c>
      <c r="I204" s="22"/>
      <c r="J204" s="23" t="str">
        <f aca="false">IF(OR(G204="",I204=""),"",$F$2+(G204+I204)/24)</f>
        <v/>
      </c>
      <c r="K204" s="20"/>
      <c r="L204" s="20"/>
      <c r="M204" s="20"/>
      <c r="N204" s="20"/>
      <c r="O204" s="21"/>
      <c r="P204" s="21"/>
      <c r="Q204" s="20"/>
      <c r="R204" s="20"/>
      <c r="S204" s="20"/>
    </row>
    <row r="205" customFormat="false" ht="15" hidden="false" customHeight="false" outlineLevel="0" collapsed="false">
      <c r="A205" s="20"/>
      <c r="B205" s="20"/>
      <c r="C205" s="21"/>
      <c r="D205" s="21"/>
      <c r="E205" s="21"/>
      <c r="F205" s="20"/>
      <c r="G205" s="22"/>
      <c r="H205" s="23" t="str">
        <f aca="false">IF(G205="","",$F$2+G205/24)</f>
        <v/>
      </c>
      <c r="I205" s="22"/>
      <c r="J205" s="23" t="str">
        <f aca="false">IF(OR(G205="",I205=""),"",$F$2+(G205+I205)/24)</f>
        <v/>
      </c>
      <c r="K205" s="20"/>
      <c r="L205" s="20"/>
      <c r="M205" s="20"/>
      <c r="N205" s="20"/>
      <c r="O205" s="21"/>
      <c r="P205" s="21"/>
      <c r="Q205" s="20"/>
      <c r="R205" s="20"/>
      <c r="S205" s="20"/>
    </row>
    <row r="206" customFormat="false" ht="15" hidden="false" customHeight="false" outlineLevel="0" collapsed="false">
      <c r="A206" s="20"/>
      <c r="B206" s="20"/>
      <c r="C206" s="21"/>
      <c r="D206" s="21"/>
      <c r="E206" s="21"/>
      <c r="F206" s="20"/>
      <c r="G206" s="22"/>
      <c r="H206" s="23" t="str">
        <f aca="false">IF(G206="","",$F$2+G206/24)</f>
        <v/>
      </c>
      <c r="I206" s="22"/>
      <c r="J206" s="23" t="str">
        <f aca="false">IF(OR(G206="",I206=""),"",$F$2+(G206+I206)/24)</f>
        <v/>
      </c>
      <c r="K206" s="20"/>
      <c r="L206" s="20"/>
      <c r="M206" s="20"/>
      <c r="N206" s="20"/>
      <c r="O206" s="21"/>
      <c r="P206" s="21"/>
      <c r="Q206" s="20"/>
      <c r="R206" s="20"/>
      <c r="S206" s="20"/>
    </row>
  </sheetData>
  <autoFilter ref="A6:S206"/>
  <mergeCells count="11">
    <mergeCell ref="A1:S1"/>
    <mergeCell ref="B2:D2"/>
    <mergeCell ref="F2:G2"/>
    <mergeCell ref="I2:K2"/>
    <mergeCell ref="A3:S3"/>
    <mergeCell ref="B4:C4"/>
    <mergeCell ref="E4:S4"/>
    <mergeCell ref="A5:F5"/>
    <mergeCell ref="G5:J5"/>
    <mergeCell ref="L5:M5"/>
    <mergeCell ref="N5:S5"/>
  </mergeCells>
  <conditionalFormatting sqref="A7:A206">
    <cfRule type="expression" priority="2" aboveAverage="0" equalAverage="0" bottom="0" percent="0" rank="0" text="" dxfId="11">
      <formula>AND($D7&lt;&gt;"",A7="")</formula>
    </cfRule>
  </conditionalFormatting>
  <conditionalFormatting sqref="B7:B206">
    <cfRule type="expression" priority="3" aboveAverage="0" equalAverage="0" bottom="0" percent="0" rank="0" text="" dxfId="11">
      <formula>AND($D7&lt;&gt;"",B7="")</formula>
    </cfRule>
  </conditionalFormatting>
  <conditionalFormatting sqref="F7:F206">
    <cfRule type="expression" priority="4" aboveAverage="0" equalAverage="0" bottom="0" percent="0" rank="0" text="" dxfId="11">
      <formula>AND($D7&lt;&gt;"",F7="")</formula>
    </cfRule>
  </conditionalFormatting>
  <conditionalFormatting sqref="G7:G206">
    <cfRule type="expression" priority="5" aboveAverage="0" equalAverage="0" bottom="0" percent="0" rank="0" text="" dxfId="11">
      <formula>AND($D7&lt;&gt;"",G7="")</formula>
    </cfRule>
  </conditionalFormatting>
  <conditionalFormatting sqref="I7:I206">
    <cfRule type="expression" priority="6" aboveAverage="0" equalAverage="0" bottom="0" percent="0" rank="0" text="" dxfId="11">
      <formula>AND($D7&lt;&gt;"",I7="")</formula>
    </cfRule>
  </conditionalFormatting>
  <conditionalFormatting sqref="K7:K206">
    <cfRule type="expression" priority="7" aboveAverage="0" equalAverage="0" bottom="0" percent="0" rank="0" text="" dxfId="11">
      <formula>AND($D7&lt;&gt;"",K7="")</formula>
    </cfRule>
  </conditionalFormatting>
  <conditionalFormatting sqref="O7:P206">
    <cfRule type="expression" priority="8" aboveAverage="0" equalAverage="0" bottom="0" percent="0" rank="0" text="" dxfId="12">
      <formula>AND(OR($N7="Mode 3",$N7="Mode 4"),O7="")</formula>
    </cfRule>
  </conditionalFormatting>
  <conditionalFormatting sqref="Q7:Q206">
    <cfRule type="expression" priority="9" aboveAverage="0" equalAverage="0" bottom="0" percent="0" rank="0" text="" dxfId="11">
      <formula>AND($N7="Mode 4",$Q7&lt;&gt;"Mode 4")</formula>
    </cfRule>
  </conditionalFormatting>
  <conditionalFormatting sqref="G7:J206">
    <cfRule type="expression" priority="10" aboveAverage="0" equalAverage="0" bottom="0" percent="0" rank="0" text="" dxfId="13">
      <formula>$D7&lt;&gt;""</formula>
    </cfRule>
  </conditionalFormatting>
  <conditionalFormatting sqref="B2:D2">
    <cfRule type="expression" priority="11" aboveAverage="0" equalAverage="0" bottom="0" percent="0" rank="0" text="" dxfId="11">
      <formula>$B$2=""</formula>
    </cfRule>
  </conditionalFormatting>
  <conditionalFormatting sqref="F2:G2">
    <cfRule type="expression" priority="12" aboveAverage="0" equalAverage="0" bottom="0" percent="0" rank="0" text="" dxfId="11">
      <formula>$F$2=""</formula>
    </cfRule>
  </conditionalFormatting>
  <dataValidations count="12">
    <dataValidation allowBlank="true" error="Chọn Nhánh." errorStyle="stop" errorTitle="Không hợp lệ" operator="between" showDropDown="false" showErrorMessage="true" showInputMessage="false" sqref="A7:A206" type="list">
      <formula1>L_Branch</formula1>
      <formula2>0</formula2>
    </dataValidation>
    <dataValidation allowBlank="true" error="Chọn Nhánh (cột A) trước." errorStyle="stop" errorTitle="Không hợp lệ" operator="between" showDropDown="false" showErrorMessage="true" showInputMessage="false" sqref="B7:B206" type="list">
      <formula1>IF($A7="Nhánh Hạt",L_Hat,IF($A7="Nhánh Dịch",L_Dich,IF($A7="Chung",L_Chung,L_None)))</formula1>
      <formula2>0</formula2>
    </dataValidation>
    <dataValidation allowBlank="true" error="Chọn loại công việc." errorStyle="stop" errorTitle="Không hợp lệ" operator="between" showDropDown="false" showErrorMessage="true" showInputMessage="false" sqref="F7:F206" type="list">
      <formula1>L_Kind</formula1>
      <formula2>0</formula2>
    </dataValidation>
    <dataValidation allowBlank="true" error="Chọn Có / Không." errorStyle="stop" errorTitle="Không hợp lệ" operator="between" showDropDown="false" showErrorMessage="true" showInputMessage="false" sqref="L7:L206" type="list">
      <formula1>L_YN</formula1>
      <formula2>0</formula2>
    </dataValidation>
    <dataValidation allowBlank="true" error="Chọn Có / Không." errorStyle="stop" errorTitle="Không hợp lệ" operator="between" showDropDown="false" showErrorMessage="true" showInputMessage="false" sqref="M7:M206" type="list">
      <formula1>L_YN</formula1>
      <formula2>0</formula2>
    </dataValidation>
    <dataValidation allowBlank="true" error="Chọn Có / Không." errorStyle="stop" errorTitle="Không hợp lệ" operator="between" showDropDown="false" showErrorMessage="true" showInputMessage="false" sqref="R7:R206" type="list">
      <formula1>L_YN</formula1>
      <formula2>0</formula2>
    </dataValidation>
    <dataValidation allowBlank="true" error="Chọn Mode." errorStyle="stop" errorTitle="Không hợp lệ" operator="between" showDropDown="false" showErrorMessage="true" showInputMessage="false" sqref="N7:N206" type="list">
      <formula1>L_Mode</formula1>
      <formula2>0</formula2>
    </dataValidation>
    <dataValidation allowBlank="true" error="Chọn giấy phép." errorStyle="stop" errorTitle="Không hợp lệ" operator="between" showDropDown="false" showErrorMessage="true" showInputMessage="false" sqref="Q7:Q206" type="list">
      <formula1>L_PTW</formula1>
      <formula2>0</formula2>
    </dataValidation>
    <dataValidation allowBlank="true" error="Chọn bộ PPE." errorStyle="stop" errorTitle="Không hợp lệ" operator="between" showDropDown="false" showErrorMessage="true" showInputMessage="false" sqref="S7:S206" type="list">
      <formula1>L_PPE</formula1>
      <formula2>0</formula2>
    </dataValidation>
    <dataValidation allowBlank="true" error="Nhập số giờ ≥ 0" errorStyle="stop" errorTitle="Không hợp lệ" operator="greaterThanOrEqual" showDropDown="false" showErrorMessage="true" showInputMessage="false" sqref="G7:G206" type="decimal">
      <formula1>0</formula1>
      <formula2>0</formula2>
    </dataValidation>
    <dataValidation allowBlank="true" error="Nhập số giờ &gt; 0" errorStyle="stop" errorTitle="Không hợp lệ" operator="greaterThan" showDropDown="false" showErrorMessage="true" showInputMessage="false" sqref="I7:I206" type="decimal">
      <formula1>0</formula1>
      <formula2>0</formula2>
    </dataValidation>
    <dataValidation allowBlank="true" error="Nhập số người ≥ 1" errorStyle="stop" errorTitle="Không hợp lệ" operator="greaterThan" showDropDown="false" showErrorMessage="true" showInputMessage="false" sqref="K7:K20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238</v>
      </c>
      <c r="B1" s="0" t="s">
        <v>239</v>
      </c>
      <c r="C1" s="0" t="s">
        <v>240</v>
      </c>
      <c r="D1" s="0" t="s">
        <v>241</v>
      </c>
      <c r="E1" s="0" t="s">
        <v>242</v>
      </c>
      <c r="F1" s="0" t="s">
        <v>243</v>
      </c>
      <c r="G1" s="0" t="s">
        <v>244</v>
      </c>
      <c r="H1" s="0" t="s">
        <v>245</v>
      </c>
      <c r="I1" s="0" t="s">
        <v>246</v>
      </c>
      <c r="J1" s="0" t="s">
        <v>247</v>
      </c>
      <c r="K1" s="0" t="s">
        <v>248</v>
      </c>
    </row>
    <row r="2" customFormat="false" ht="15" hidden="false" customHeight="false" outlineLevel="0" collapsed="false">
      <c r="A2" s="0" t="s">
        <v>249</v>
      </c>
      <c r="B2" s="0" t="s">
        <v>33</v>
      </c>
      <c r="C2" s="0" t="s">
        <v>151</v>
      </c>
      <c r="D2" s="0" t="s">
        <v>158</v>
      </c>
      <c r="E2" s="0" t="s">
        <v>250</v>
      </c>
      <c r="F2" s="0" t="s">
        <v>38</v>
      </c>
      <c r="G2" s="0" t="s">
        <v>39</v>
      </c>
      <c r="H2" s="0" t="s">
        <v>41</v>
      </c>
      <c r="I2" s="0" t="s">
        <v>40</v>
      </c>
      <c r="J2" s="0" t="s">
        <v>56</v>
      </c>
      <c r="K2" s="0" t="s">
        <v>251</v>
      </c>
    </row>
    <row r="3" customFormat="false" ht="15" hidden="false" customHeight="false" outlineLevel="0" collapsed="false">
      <c r="B3" s="0" t="s">
        <v>157</v>
      </c>
      <c r="C3" s="0" t="s">
        <v>34</v>
      </c>
      <c r="D3" s="0" t="s">
        <v>173</v>
      </c>
      <c r="E3" s="0" t="s">
        <v>252</v>
      </c>
      <c r="F3" s="0" t="s">
        <v>80</v>
      </c>
      <c r="G3" s="0" t="s">
        <v>40</v>
      </c>
      <c r="H3" s="0" t="s">
        <v>253</v>
      </c>
      <c r="I3" s="0" t="s">
        <v>254</v>
      </c>
      <c r="J3" s="0" t="s">
        <v>109</v>
      </c>
      <c r="K3" s="0" t="s">
        <v>255</v>
      </c>
    </row>
    <row r="4" customFormat="false" ht="15" hidden="false" customHeight="false" outlineLevel="0" collapsed="false">
      <c r="B4" s="0" t="s">
        <v>256</v>
      </c>
      <c r="C4" s="0" t="s">
        <v>117</v>
      </c>
      <c r="D4" s="0" t="s">
        <v>257</v>
      </c>
      <c r="E4" s="0" t="s">
        <v>256</v>
      </c>
      <c r="F4" s="0" t="s">
        <v>258</v>
      </c>
      <c r="H4" s="0" t="s">
        <v>259</v>
      </c>
      <c r="I4" s="0" t="s">
        <v>260</v>
      </c>
      <c r="J4" s="0" t="s">
        <v>42</v>
      </c>
      <c r="K4" s="0" t="s">
        <v>261</v>
      </c>
    </row>
    <row r="5" customFormat="false" ht="15" hidden="false" customHeight="false" outlineLevel="0" collapsed="false">
      <c r="C5" s="0" t="s">
        <v>81</v>
      </c>
      <c r="D5" s="0" t="s">
        <v>176</v>
      </c>
      <c r="H5" s="0" t="s">
        <v>55</v>
      </c>
      <c r="I5" s="0" t="s">
        <v>262</v>
      </c>
      <c r="J5" s="0" t="s">
        <v>254</v>
      </c>
      <c r="K5" s="0" t="s">
        <v>263</v>
      </c>
    </row>
    <row r="6" customFormat="false" ht="15" hidden="false" customHeight="false" outlineLevel="0" collapsed="false">
      <c r="C6" s="0" t="s">
        <v>138</v>
      </c>
      <c r="D6" s="0" t="s">
        <v>185</v>
      </c>
      <c r="H6" s="0" t="s">
        <v>264</v>
      </c>
      <c r="I6" s="0" t="s">
        <v>265</v>
      </c>
      <c r="J6" s="0" t="s">
        <v>265</v>
      </c>
      <c r="K6" s="0" t="s">
        <v>266</v>
      </c>
    </row>
    <row r="7" customFormat="false" ht="15" hidden="false" customHeight="false" outlineLevel="0" collapsed="false">
      <c r="C7" s="0" t="s">
        <v>267</v>
      </c>
      <c r="D7" s="0" t="s">
        <v>190</v>
      </c>
      <c r="I7" s="0" t="s">
        <v>264</v>
      </c>
      <c r="J7" s="0" t="s">
        <v>268</v>
      </c>
      <c r="K7" s="0" t="s">
        <v>269</v>
      </c>
    </row>
    <row r="8" customFormat="false" ht="15" hidden="false" customHeight="false" outlineLevel="0" collapsed="false">
      <c r="D8" s="0" t="s">
        <v>196</v>
      </c>
      <c r="I8" s="0" t="s">
        <v>270</v>
      </c>
    </row>
    <row r="9" customFormat="false" ht="15" hidden="false" customHeight="false" outlineLevel="0" collapsed="false">
      <c r="D9" s="0" t="s">
        <v>225</v>
      </c>
      <c r="I9" s="0" t="s">
        <v>271</v>
      </c>
    </row>
    <row r="10" customFormat="false" ht="15" hidden="false" customHeight="false" outlineLevel="0" collapsed="false">
      <c r="I10" s="0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2026-10-17T03:46:57.7119433Z</dcterms:created>
  <dc:creator>Dinh,Tran Loc,VN-Dong Nai,Manufacturing</dc:creator>
  <dc:description/>
  <dc:language>en-US</dc:language>
  <lastModifiedBy>Dinh,Tran Loc,VN-Dong Nai,Manufacturing</lastModifiedBy>
  <dcterms:modified xsi:type="dcterms:W3CDTF">2026-10-17T03:46:57.7119433Z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